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김우경\제부도 바닷길 통행시간 변경\2026년\국립해양조사원 바다갈라짐 예측 자료(710cm)\05제부도\"/>
    </mc:Choice>
  </mc:AlternateContent>
  <xr:revisionPtr revIDLastSave="0" documentId="13_ncr:1_{83DE9A29-72AA-4365-80EF-158E54A116B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년 제부도 통행시간표 (공표자료)" sheetId="1" r:id="rId1"/>
    <sheet name="2025년 제부도 통행시간표 (현장자료)" sheetId="3" state="hidden" r:id="rId2"/>
    <sheet name="2025년 제부도 통행시간표 (편차)" sheetId="4" state="hidden" r:id="rId3"/>
  </sheets>
  <definedNames>
    <definedName name="_xlnm.Print_Area" localSheetId="2">'2025년 제부도 통행시간표 (편차)'!$A$1:$T$68</definedName>
    <definedName name="_xlnm.Print_Area" localSheetId="1">'2025년 제부도 통행시간표 (현장자료)'!$A$1:$T$68</definedName>
    <definedName name="_xlnm.Print_Area" localSheetId="0">'2026년 제부도 통행시간표 (공표자료)'!$A$1:$T$136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0" i="4" l="1"/>
  <c r="M41" i="4"/>
  <c r="M42" i="4"/>
  <c r="M43" i="4"/>
  <c r="M44" i="4"/>
  <c r="L40" i="4"/>
  <c r="L41" i="4"/>
  <c r="L42" i="4"/>
  <c r="L43" i="4"/>
  <c r="L44" i="4"/>
  <c r="L45" i="4"/>
  <c r="L46" i="4"/>
  <c r="L47" i="4"/>
  <c r="L55" i="4"/>
  <c r="L56" i="4"/>
  <c r="L57" i="4"/>
  <c r="L58" i="4"/>
  <c r="L59" i="4"/>
  <c r="L60" i="4"/>
  <c r="L61" i="4"/>
  <c r="K40" i="4"/>
  <c r="K41" i="4"/>
  <c r="K42" i="4"/>
  <c r="K43" i="4"/>
  <c r="K44" i="4"/>
  <c r="K45" i="4"/>
  <c r="K46" i="4"/>
  <c r="K47" i="4"/>
  <c r="K55" i="4"/>
  <c r="K56" i="4"/>
  <c r="K57" i="4"/>
  <c r="K58" i="4"/>
  <c r="K59" i="4"/>
  <c r="K60" i="4"/>
  <c r="K61" i="4"/>
  <c r="J41" i="4"/>
  <c r="J42" i="4"/>
  <c r="J43" i="4"/>
  <c r="J44" i="4"/>
  <c r="J45" i="4"/>
  <c r="M9" i="4"/>
  <c r="J10" i="4"/>
  <c r="M10" i="4"/>
  <c r="J11" i="4"/>
  <c r="M11" i="4"/>
  <c r="J12" i="4"/>
  <c r="K12" i="4"/>
  <c r="L12" i="4"/>
  <c r="M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K19" i="4"/>
  <c r="L19" i="4"/>
  <c r="M23" i="4"/>
  <c r="J24" i="4"/>
  <c r="M24" i="4"/>
  <c r="J25" i="4"/>
  <c r="K25" i="4"/>
  <c r="L25" i="4"/>
  <c r="M25" i="4"/>
  <c r="J26" i="4"/>
  <c r="K26" i="4"/>
  <c r="L26" i="4"/>
  <c r="M26" i="4"/>
  <c r="J27" i="4"/>
  <c r="K27" i="4"/>
  <c r="L27" i="4"/>
  <c r="M27" i="4"/>
  <c r="J28" i="4"/>
  <c r="K28" i="4"/>
  <c r="L28" i="4"/>
  <c r="M28" i="4"/>
  <c r="J29" i="4"/>
  <c r="K29" i="4"/>
  <c r="L29" i="4"/>
  <c r="M29" i="4"/>
  <c r="J30" i="4"/>
  <c r="K30" i="4"/>
  <c r="L30" i="4"/>
  <c r="M30" i="4"/>
  <c r="J31" i="4"/>
  <c r="K31" i="4"/>
  <c r="L31" i="4"/>
  <c r="M31" i="4"/>
  <c r="J32" i="4"/>
  <c r="K32" i="4"/>
  <c r="L32" i="4"/>
  <c r="F41" i="4"/>
  <c r="F42" i="4"/>
  <c r="F43" i="4"/>
  <c r="F44" i="4"/>
  <c r="F45" i="4"/>
  <c r="F46" i="4"/>
  <c r="F47" i="4"/>
  <c r="F55" i="4"/>
  <c r="F56" i="4"/>
  <c r="F57" i="4"/>
  <c r="F58" i="4"/>
  <c r="F59" i="4"/>
  <c r="F60" i="4"/>
  <c r="E42" i="4"/>
  <c r="E43" i="4"/>
  <c r="E44" i="4"/>
  <c r="E45" i="4"/>
  <c r="E46" i="4"/>
  <c r="E47" i="4"/>
  <c r="E48" i="4"/>
  <c r="E49" i="4"/>
  <c r="E56" i="4"/>
  <c r="E57" i="4"/>
  <c r="E58" i="4"/>
  <c r="E59" i="4"/>
  <c r="E60" i="4"/>
  <c r="E61" i="4"/>
  <c r="E62" i="4"/>
  <c r="E63" i="4"/>
  <c r="D42" i="4"/>
  <c r="D43" i="4"/>
  <c r="D44" i="4"/>
  <c r="D45" i="4"/>
  <c r="D46" i="4"/>
  <c r="D47" i="4"/>
  <c r="D48" i="4"/>
  <c r="D49" i="4"/>
  <c r="D56" i="4"/>
  <c r="D57" i="4"/>
  <c r="D58" i="4"/>
  <c r="D59" i="4"/>
  <c r="D60" i="4"/>
  <c r="D61" i="4"/>
  <c r="D62" i="4"/>
  <c r="D63" i="4"/>
  <c r="C42" i="4"/>
  <c r="C43" i="4"/>
  <c r="C44" i="4"/>
  <c r="C45" i="4"/>
  <c r="C46" i="4"/>
  <c r="C47" i="4"/>
  <c r="C48" i="4"/>
  <c r="C56" i="4"/>
  <c r="C57" i="4"/>
  <c r="C58" i="4"/>
  <c r="C59" i="4"/>
  <c r="C60" i="4"/>
  <c r="C61" i="4"/>
  <c r="T8" i="4"/>
  <c r="T9" i="4"/>
  <c r="T10" i="4"/>
  <c r="T11" i="4"/>
  <c r="T12" i="4"/>
  <c r="T13" i="4"/>
  <c r="T14" i="4"/>
  <c r="T15" i="4"/>
  <c r="T21" i="4"/>
  <c r="T22" i="4"/>
  <c r="T23" i="4"/>
  <c r="T24" i="4"/>
  <c r="T25" i="4"/>
  <c r="T26" i="4"/>
  <c r="T27" i="4"/>
  <c r="T28" i="4"/>
  <c r="S10" i="4"/>
  <c r="S11" i="4"/>
  <c r="S12" i="4"/>
  <c r="S13" i="4"/>
  <c r="S14" i="4"/>
  <c r="S15" i="4"/>
  <c r="S16" i="4"/>
  <c r="S23" i="4"/>
  <c r="S24" i="4"/>
  <c r="S25" i="4"/>
  <c r="S26" i="4"/>
  <c r="S27" i="4"/>
  <c r="S28" i="4"/>
  <c r="S29" i="4"/>
  <c r="S30" i="4"/>
  <c r="R10" i="4"/>
  <c r="R11" i="4"/>
  <c r="R12" i="4"/>
  <c r="R13" i="4"/>
  <c r="R14" i="4"/>
  <c r="R15" i="4"/>
  <c r="R16" i="4"/>
  <c r="R23" i="4"/>
  <c r="R24" i="4"/>
  <c r="R25" i="4"/>
  <c r="R26" i="4"/>
  <c r="R27" i="4"/>
  <c r="R28" i="4"/>
  <c r="R29" i="4"/>
  <c r="R30" i="4"/>
  <c r="Q9" i="4"/>
  <c r="Q10" i="4"/>
  <c r="Q11" i="4"/>
  <c r="Q12" i="4"/>
  <c r="Q13" i="4"/>
  <c r="Q14" i="4"/>
  <c r="Q15" i="4"/>
  <c r="Q16" i="4"/>
  <c r="Q22" i="4"/>
  <c r="Q23" i="4"/>
  <c r="Q24" i="4"/>
  <c r="Q25" i="4"/>
  <c r="Q26" i="4"/>
  <c r="Q27" i="4"/>
  <c r="Q28" i="4"/>
  <c r="Q29" i="4"/>
  <c r="F11" i="4"/>
  <c r="F12" i="4"/>
  <c r="F13" i="4"/>
  <c r="F14" i="4"/>
  <c r="F15" i="4"/>
  <c r="F16" i="4"/>
  <c r="F17" i="4"/>
  <c r="F18" i="4"/>
  <c r="F19" i="4"/>
  <c r="F20" i="4"/>
  <c r="F24" i="4"/>
  <c r="F25" i="4"/>
  <c r="F26" i="4"/>
  <c r="F27" i="4"/>
  <c r="F28" i="4"/>
  <c r="F29" i="4"/>
  <c r="F30" i="4"/>
  <c r="F31" i="4"/>
  <c r="F32" i="4"/>
  <c r="F33" i="4"/>
  <c r="E15" i="4"/>
  <c r="E16" i="4"/>
  <c r="E17" i="4"/>
  <c r="E18" i="4"/>
  <c r="E19" i="4"/>
  <c r="E20" i="4"/>
  <c r="E28" i="4"/>
  <c r="E29" i="4"/>
  <c r="E30" i="4"/>
  <c r="E31" i="4"/>
  <c r="E32" i="4"/>
  <c r="E33" i="4"/>
  <c r="D15" i="4"/>
  <c r="D16" i="4"/>
  <c r="D17" i="4"/>
  <c r="D18" i="4"/>
  <c r="D19" i="4"/>
  <c r="D20" i="4"/>
  <c r="D28" i="4"/>
  <c r="D29" i="4"/>
  <c r="D30" i="4"/>
  <c r="D31" i="4"/>
  <c r="D32" i="4"/>
  <c r="D33" i="4"/>
  <c r="C5" i="4"/>
  <c r="C12" i="4"/>
  <c r="C13" i="4"/>
  <c r="C14" i="4"/>
  <c r="C15" i="4"/>
  <c r="C16" i="4"/>
  <c r="C17" i="4"/>
  <c r="C18" i="4"/>
  <c r="C19" i="4"/>
  <c r="C20" i="4"/>
  <c r="C21" i="4"/>
  <c r="C25" i="4"/>
  <c r="C26" i="4"/>
  <c r="C27" i="4"/>
  <c r="C28" i="4"/>
  <c r="C29" i="4"/>
  <c r="C30" i="4"/>
  <c r="C31" i="4"/>
  <c r="C32" i="4"/>
  <c r="C33" i="4"/>
  <c r="C34" i="4"/>
  <c r="F4" i="4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135" authorId="0" shapeId="0" xr:uid="{02B9A294-ABA6-47B3-B601-579AC63BC654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</text>
    </comment>
  </commentList>
</comments>
</file>

<file path=xl/sharedStrings.xml><?xml version="1.0" encoding="utf-8"?>
<sst xmlns="http://schemas.openxmlformats.org/spreadsheetml/2006/main" count="1948" uniqueCount="41">
  <si>
    <t>일자</t>
  </si>
  <si>
    <t>1  차</t>
  </si>
  <si>
    <t>2  차</t>
  </si>
  <si>
    <t>~부터
(열림)</t>
    <phoneticPr fontId="2" type="noConversion"/>
  </si>
  <si>
    <t>~까지
(닫힘)</t>
    <phoneticPr fontId="2" type="noConversion"/>
  </si>
  <si>
    <t>~까지
(닫힘)</t>
    <phoneticPr fontId="2" type="noConversion"/>
  </si>
  <si>
    <t>월</t>
  </si>
  <si>
    <t>화</t>
  </si>
  <si>
    <t>수</t>
  </si>
  <si>
    <t>목</t>
  </si>
  <si>
    <t>금</t>
  </si>
  <si>
    <t>토</t>
  </si>
  <si>
    <t>일</t>
  </si>
  <si>
    <t>2025년 7월 통행가능 시간표</t>
  </si>
  <si>
    <t>2025년 8월 통행가능 시간표</t>
  </si>
  <si>
    <t>2025년 9월 통행가능 시간표</t>
  </si>
  <si>
    <t>2025년 10월 통행가능 시간표</t>
  </si>
  <si>
    <t>2025년 11월 통행가능 시간표</t>
  </si>
  <si>
    <t>2025년 12월 통행가능 시간표</t>
  </si>
  <si>
    <t>수</t>
    <phoneticPr fontId="2" type="noConversion"/>
  </si>
  <si>
    <t>계속통행</t>
  </si>
  <si>
    <t>계속통행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</si>
  <si>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</si>
  <si>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</si>
  <si>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</si>
  <si>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2026년 1월 통행가능 시간표</t>
    <phoneticPr fontId="2" type="noConversion"/>
  </si>
  <si>
    <t>2026년 2월 통행가능 시간표</t>
    <phoneticPr fontId="2" type="noConversion"/>
  </si>
  <si>
    <t>2026년 3월 통행가능 시간표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</si>
  <si>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</si>
  <si>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</si>
  <si>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</si>
  <si>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2026년 4월 통행가능 시간표</t>
    <phoneticPr fontId="2" type="noConversion"/>
  </si>
  <si>
    <t>2026년 5월 통행가능 시간표</t>
    <phoneticPr fontId="2" type="noConversion"/>
  </si>
  <si>
    <t>2026년 6월 통행가능 시간표</t>
    <phoneticPr fontId="2" type="noConversion"/>
  </si>
  <si>
    <t>2026년 7월 통행가능 시간표</t>
    <phoneticPr fontId="2" type="noConversion"/>
  </si>
  <si>
    <t>2026년 8월 통행가능 시간표</t>
    <phoneticPr fontId="2" type="noConversion"/>
  </si>
  <si>
    <t>2026년 10월 통행가능 시간표</t>
    <phoneticPr fontId="2" type="noConversion"/>
  </si>
  <si>
    <t>2026년 9월 통행가능 시간표</t>
    <phoneticPr fontId="2" type="noConversion"/>
  </si>
  <si>
    <t>2026년 11월 통행가능 시간표</t>
    <phoneticPr fontId="2" type="noConversion"/>
  </si>
  <si>
    <t>2026년 12월 통행가능 시간표</t>
    <phoneticPr fontId="2" type="noConversion"/>
  </si>
  <si>
    <t>계속통행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</si>
</sst>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h:mm\ &quot;부터&quot;"/>
    <numFmt numFmtId="177" formatCode="hh:mm\ &quot;까지&quot;"/>
    <numFmt numFmtId="178" formatCode="00&quot;:&quot;00"/>
    <numFmt numFmtId="179" formatCode="h:mm;@"/>
  </numFmts>
  <fonts count="20" x14ac:knownFonts="1"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sz val="7.5"/>
      <name val="굴림"/>
      <family val="3"/>
      <charset val="129"/>
    </font>
    <font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sz val="7.5"/>
      <name val="돋움"/>
      <family val="3"/>
      <charset val="129"/>
    </font>
    <font>
      <b/>
      <sz val="12"/>
      <name val="돋움"/>
      <family val="3"/>
      <charset val="129"/>
    </font>
    <font>
      <b/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4"/>
      <name val="돋움"/>
      <family val="3"/>
      <charset val="129"/>
    </font>
    <font>
      <b/>
      <sz val="8"/>
      <color rgb="FF00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3245F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Border="1">
      <alignment vertical="center"/>
    </xf>
    <xf numFmtId="177" fontId="3" fillId="0" borderId="0" xfId="0" applyNumberFormat="1" applyFont="1" applyFill="1">
      <alignment vertical="center"/>
    </xf>
    <xf numFmtId="177" fontId="3" fillId="0" borderId="0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NumberFormat="1" applyFont="1" applyFill="1">
      <alignment vertical="center"/>
    </xf>
    <xf numFmtId="176" fontId="6" fillId="0" borderId="0" xfId="0" applyNumberFormat="1" applyFont="1" applyFill="1">
      <alignment vertical="center"/>
    </xf>
    <xf numFmtId="177" fontId="6" fillId="0" borderId="0" xfId="0" applyNumberFormat="1" applyFont="1" applyFill="1">
      <alignment vertical="center"/>
    </xf>
    <xf numFmtId="0" fontId="0" fillId="0" borderId="0" xfId="0" applyNumberFormat="1" applyFont="1" applyFill="1" applyBorder="1">
      <alignment vertical="center"/>
    </xf>
    <xf numFmtId="176" fontId="6" fillId="0" borderId="0" xfId="0" applyNumberFormat="1" applyFont="1" applyFill="1" applyBorder="1">
      <alignment vertical="center"/>
    </xf>
    <xf numFmtId="177" fontId="6" fillId="0" borderId="0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8" fillId="0" borderId="3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178" fontId="12" fillId="0" borderId="2" xfId="0" applyNumberFormat="1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178" fontId="12" fillId="0" borderId="25" xfId="0" applyNumberFormat="1" applyFont="1" applyFill="1" applyBorder="1" applyAlignment="1">
      <alignment horizontal="center" vertical="center" wrapText="1"/>
    </xf>
    <xf numFmtId="178" fontId="12" fillId="0" borderId="16" xfId="0" applyNumberFormat="1" applyFont="1" applyFill="1" applyBorder="1" applyAlignment="1">
      <alignment horizontal="center" vertical="center" wrapText="1"/>
    </xf>
    <xf numFmtId="178" fontId="12" fillId="0" borderId="17" xfId="0" applyNumberFormat="1" applyFont="1" applyFill="1" applyBorder="1" applyAlignment="1">
      <alignment horizontal="center" vertical="center" wrapText="1"/>
    </xf>
    <xf numFmtId="178" fontId="12" fillId="0" borderId="37" xfId="0" applyNumberFormat="1" applyFont="1" applyFill="1" applyBorder="1" applyAlignment="1">
      <alignment horizontal="center" vertical="center" wrapText="1"/>
    </xf>
    <xf numFmtId="178" fontId="12" fillId="0" borderId="3" xfId="0" applyNumberFormat="1" applyFont="1" applyFill="1" applyBorder="1" applyAlignment="1">
      <alignment horizontal="center" vertical="center" wrapText="1"/>
    </xf>
    <xf numFmtId="178" fontId="12" fillId="0" borderId="4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8" fontId="10" fillId="0" borderId="3" xfId="0" applyNumberFormat="1" applyFont="1" applyFill="1" applyBorder="1" applyAlignment="1">
      <alignment horizontal="center" vertical="center" wrapText="1"/>
    </xf>
    <xf numFmtId="178" fontId="10" fillId="0" borderId="4" xfId="0" applyNumberFormat="1" applyFont="1" applyFill="1" applyBorder="1" applyAlignment="1">
      <alignment horizontal="center" vertical="center" wrapText="1"/>
    </xf>
    <xf numFmtId="178" fontId="12" fillId="0" borderId="27" xfId="0" applyNumberFormat="1" applyFont="1" applyFill="1" applyBorder="1" applyAlignment="1">
      <alignment horizontal="center" vertical="center" wrapText="1"/>
    </xf>
    <xf numFmtId="178" fontId="12" fillId="0" borderId="28" xfId="0" applyNumberFormat="1" applyFont="1" applyFill="1" applyBorder="1" applyAlignment="1">
      <alignment horizontal="center" vertical="center" wrapText="1"/>
    </xf>
    <xf numFmtId="178" fontId="12" fillId="0" borderId="29" xfId="0" applyNumberFormat="1" applyFont="1" applyFill="1" applyBorder="1" applyAlignment="1">
      <alignment horizontal="center" vertical="center" wrapText="1"/>
    </xf>
    <xf numFmtId="178" fontId="12" fillId="0" borderId="35" xfId="0" applyNumberFormat="1" applyFont="1" applyFill="1" applyBorder="1" applyAlignment="1">
      <alignment horizontal="center" vertical="center" wrapText="1"/>
    </xf>
    <xf numFmtId="178" fontId="12" fillId="0" borderId="36" xfId="0" applyNumberFormat="1" applyFont="1" applyFill="1" applyBorder="1" applyAlignment="1">
      <alignment horizontal="center" vertical="center" wrapText="1"/>
    </xf>
    <xf numFmtId="178" fontId="12" fillId="0" borderId="38" xfId="0" applyNumberFormat="1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179" fontId="12" fillId="0" borderId="2" xfId="0" applyNumberFormat="1" applyFont="1" applyFill="1" applyBorder="1" applyAlignment="1">
      <alignment horizontal="center" vertical="center" wrapText="1"/>
    </xf>
    <xf numFmtId="179" fontId="12" fillId="0" borderId="24" xfId="0" applyNumberFormat="1" applyFont="1" applyFill="1" applyBorder="1" applyAlignment="1">
      <alignment horizontal="center" vertical="center" wrapText="1"/>
    </xf>
    <xf numFmtId="179" fontId="12" fillId="0" borderId="25" xfId="0" applyNumberFormat="1" applyFont="1" applyFill="1" applyBorder="1" applyAlignment="1">
      <alignment horizontal="center" vertical="center" wrapText="1"/>
    </xf>
    <xf numFmtId="179" fontId="12" fillId="0" borderId="16" xfId="0" applyNumberFormat="1" applyFont="1" applyFill="1" applyBorder="1" applyAlignment="1">
      <alignment horizontal="center" vertical="center" wrapText="1"/>
    </xf>
    <xf numFmtId="179" fontId="12" fillId="0" borderId="17" xfId="0" applyNumberFormat="1" applyFont="1" applyFill="1" applyBorder="1" applyAlignment="1">
      <alignment horizontal="center" vertical="center" wrapText="1"/>
    </xf>
    <xf numFmtId="179" fontId="12" fillId="0" borderId="37" xfId="0" applyNumberFormat="1" applyFont="1" applyFill="1" applyBorder="1" applyAlignment="1">
      <alignment horizontal="center" vertical="center" wrapText="1"/>
    </xf>
    <xf numFmtId="179" fontId="12" fillId="0" borderId="26" xfId="0" applyNumberFormat="1" applyFont="1" applyFill="1" applyBorder="1" applyAlignment="1">
      <alignment horizontal="center" vertical="center" wrapText="1"/>
    </xf>
    <xf numFmtId="179" fontId="12" fillId="0" borderId="8" xfId="0" applyNumberFormat="1" applyFont="1" applyFill="1" applyBorder="1" applyAlignment="1">
      <alignment horizontal="center" vertical="center" wrapText="1"/>
    </xf>
    <xf numFmtId="179" fontId="12" fillId="0" borderId="14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Fill="1" applyBorder="1" applyAlignment="1">
      <alignment horizontal="center" vertical="center" wrapText="1"/>
    </xf>
    <xf numFmtId="179" fontId="12" fillId="0" borderId="4" xfId="0" applyNumberFormat="1" applyFont="1" applyFill="1" applyBorder="1" applyAlignment="1">
      <alignment horizontal="center" vertical="center" wrapText="1"/>
    </xf>
    <xf numFmtId="179" fontId="12" fillId="3" borderId="1" xfId="0" applyNumberFormat="1" applyFont="1" applyFill="1" applyBorder="1" applyAlignment="1">
      <alignment horizontal="center" vertical="center" wrapText="1"/>
    </xf>
    <xf numFmtId="179" fontId="12" fillId="0" borderId="39" xfId="0" applyNumberFormat="1" applyFont="1" applyFill="1" applyBorder="1" applyAlignment="1">
      <alignment horizontal="center" vertical="center" wrapText="1"/>
    </xf>
    <xf numFmtId="179" fontId="12" fillId="0" borderId="40" xfId="0" applyNumberFormat="1" applyFont="1" applyFill="1" applyBorder="1" applyAlignment="1">
      <alignment horizontal="center" vertical="center" wrapText="1"/>
    </xf>
    <xf numFmtId="179" fontId="12" fillId="3" borderId="8" xfId="0" applyNumberFormat="1" applyFont="1" applyFill="1" applyBorder="1" applyAlignment="1">
      <alignment horizontal="center" vertical="center" wrapText="1"/>
    </xf>
    <xf numFmtId="179" fontId="12" fillId="3" borderId="17" xfId="0" applyNumberFormat="1" applyFont="1" applyFill="1" applyBorder="1" applyAlignment="1">
      <alignment horizontal="center" vertical="center" wrapText="1"/>
    </xf>
    <xf numFmtId="179" fontId="12" fillId="3" borderId="25" xfId="0" applyNumberFormat="1" applyFont="1" applyFill="1" applyBorder="1" applyAlignment="1">
      <alignment horizontal="center" vertical="center" wrapText="1"/>
    </xf>
    <xf numFmtId="179" fontId="10" fillId="0" borderId="3" xfId="0" applyNumberFormat="1" applyFont="1" applyFill="1" applyBorder="1" applyAlignment="1">
      <alignment horizontal="center" vertical="center" wrapText="1"/>
    </xf>
    <xf numFmtId="179" fontId="10" fillId="0" borderId="4" xfId="0" applyNumberFormat="1" applyFont="1" applyFill="1" applyBorder="1" applyAlignment="1">
      <alignment horizontal="center" vertical="center" wrapText="1"/>
    </xf>
    <xf numFmtId="179" fontId="12" fillId="3" borderId="14" xfId="0" applyNumberFormat="1" applyFont="1" applyFill="1" applyBorder="1" applyAlignment="1">
      <alignment horizontal="center" vertical="center" wrapText="1"/>
    </xf>
    <xf numFmtId="179" fontId="12" fillId="3" borderId="2" xfId="0" applyNumberFormat="1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179" fontId="12" fillId="0" borderId="41" xfId="0" applyNumberFormat="1" applyFont="1" applyFill="1" applyBorder="1" applyAlignment="1">
      <alignment horizontal="center" vertical="center" wrapText="1"/>
    </xf>
    <xf numFmtId="179" fontId="12" fillId="0" borderId="42" xfId="0" applyNumberFormat="1" applyFont="1" applyFill="1" applyBorder="1" applyAlignment="1">
      <alignment horizontal="center" vertical="center" wrapText="1"/>
    </xf>
    <xf numFmtId="179" fontId="12" fillId="3" borderId="37" xfId="0" applyNumberFormat="1" applyFont="1" applyFill="1" applyBorder="1" applyAlignment="1">
      <alignment horizontal="center" vertical="center" wrapText="1"/>
    </xf>
    <xf numFmtId="179" fontId="8" fillId="0" borderId="16" xfId="0" applyNumberFormat="1" applyFont="1" applyFill="1" applyBorder="1" applyAlignment="1">
      <alignment horizontal="center" vertical="center" wrapText="1"/>
    </xf>
    <xf numFmtId="179" fontId="8" fillId="0" borderId="17" xfId="0" applyNumberFormat="1" applyFont="1" applyFill="1" applyBorder="1" applyAlignment="1">
      <alignment horizontal="center" vertical="center" wrapText="1"/>
    </xf>
    <xf numFmtId="179" fontId="12" fillId="0" borderId="43" xfId="0" applyNumberFormat="1" applyFont="1" applyFill="1" applyBorder="1" applyAlignment="1">
      <alignment horizontal="center" vertical="center" wrapText="1"/>
    </xf>
    <xf numFmtId="179" fontId="12" fillId="0" borderId="44" xfId="0" applyNumberFormat="1" applyFont="1" applyFill="1" applyBorder="1" applyAlignment="1">
      <alignment horizontal="center" vertical="center" wrapText="1"/>
    </xf>
    <xf numFmtId="179" fontId="12" fillId="0" borderId="45" xfId="0" applyNumberFormat="1" applyFont="1" applyFill="1" applyBorder="1" applyAlignment="1">
      <alignment horizontal="center" vertical="center" wrapText="1"/>
    </xf>
    <xf numFmtId="179" fontId="12" fillId="0" borderId="46" xfId="0" applyNumberFormat="1" applyFont="1" applyFill="1" applyBorder="1" applyAlignment="1">
      <alignment horizontal="center" vertical="center" wrapText="1"/>
    </xf>
    <xf numFmtId="179" fontId="12" fillId="0" borderId="47" xfId="0" applyNumberFormat="1" applyFont="1" applyFill="1" applyBorder="1" applyAlignment="1">
      <alignment horizontal="center" vertical="center" wrapText="1"/>
    </xf>
    <xf numFmtId="179" fontId="12" fillId="0" borderId="48" xfId="0" applyNumberFormat="1" applyFont="1" applyFill="1" applyBorder="1" applyAlignment="1">
      <alignment horizontal="center" vertical="center" wrapText="1"/>
    </xf>
    <xf numFmtId="179" fontId="12" fillId="3" borderId="48" xfId="0" applyNumberFormat="1" applyFont="1" applyFill="1" applyBorder="1" applyAlignment="1">
      <alignment horizontal="center" vertical="center" wrapText="1"/>
    </xf>
    <xf numFmtId="179" fontId="12" fillId="3" borderId="46" xfId="0" applyNumberFormat="1" applyFont="1" applyFill="1" applyBorder="1" applyAlignment="1">
      <alignment horizontal="center" vertical="center" wrapText="1"/>
    </xf>
    <xf numFmtId="179" fontId="8" fillId="3" borderId="16" xfId="0" applyNumberFormat="1" applyFont="1" applyFill="1" applyBorder="1" applyAlignment="1">
      <alignment horizontal="center" vertical="center" wrapText="1"/>
    </xf>
    <xf numFmtId="179" fontId="8" fillId="3" borderId="17" xfId="0" applyNumberFormat="1" applyFont="1" applyFill="1" applyBorder="1" applyAlignment="1">
      <alignment horizontal="center" vertical="center" wrapText="1"/>
    </xf>
    <xf numFmtId="178" fontId="6" fillId="0" borderId="0" xfId="0" applyNumberFormat="1" applyFont="1" applyFill="1">
      <alignment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8" fontId="17" fillId="2" borderId="1" xfId="0" applyNumberFormat="1" applyFont="1" applyFill="1" applyBorder="1" applyAlignment="1">
      <alignment horizontal="center" vertical="center" wrapText="1"/>
    </xf>
    <xf numFmtId="178" fontId="17" fillId="2" borderId="2" xfId="0" applyNumberFormat="1" applyFont="1" applyFill="1" applyBorder="1" applyAlignment="1">
      <alignment horizontal="center" vertical="center" wrapText="1"/>
    </xf>
    <xf numFmtId="178" fontId="17" fillId="2" borderId="3" xfId="0" applyNumberFormat="1" applyFont="1" applyFill="1" applyBorder="1" applyAlignment="1">
      <alignment horizontal="center" vertical="center" wrapText="1"/>
    </xf>
    <xf numFmtId="178" fontId="17" fillId="2" borderId="4" xfId="0" applyNumberFormat="1" applyFont="1" applyFill="1" applyBorder="1" applyAlignment="1">
      <alignment horizontal="center" vertical="center" wrapText="1"/>
    </xf>
    <xf numFmtId="178" fontId="17" fillId="0" borderId="8" xfId="0" applyNumberFormat="1" applyFont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78" fontId="17" fillId="0" borderId="8" xfId="0" applyNumberFormat="1" applyFont="1" applyFill="1" applyBorder="1" applyAlignment="1">
      <alignment horizontal="center" vertical="center" wrapText="1"/>
    </xf>
    <xf numFmtId="178" fontId="17" fillId="0" borderId="14" xfId="0" applyNumberFormat="1" applyFont="1" applyFill="1" applyBorder="1" applyAlignment="1">
      <alignment horizontal="center"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178" fontId="17" fillId="0" borderId="2" xfId="0" applyNumberFormat="1" applyFont="1" applyFill="1" applyBorder="1" applyAlignment="1">
      <alignment horizontal="center" vertical="center" wrapText="1"/>
    </xf>
    <xf numFmtId="178" fontId="17" fillId="0" borderId="25" xfId="0" applyNumberFormat="1" applyFont="1" applyFill="1" applyBorder="1" applyAlignment="1">
      <alignment horizontal="center" vertical="center" wrapText="1"/>
    </xf>
    <xf numFmtId="178" fontId="17" fillId="0" borderId="16" xfId="0" applyNumberFormat="1" applyFont="1" applyFill="1" applyBorder="1" applyAlignment="1">
      <alignment horizontal="center" vertical="center" wrapText="1"/>
    </xf>
    <xf numFmtId="178" fontId="17" fillId="0" borderId="17" xfId="0" applyNumberFormat="1" applyFont="1" applyFill="1" applyBorder="1" applyAlignment="1">
      <alignment horizontal="center" vertical="center" wrapText="1"/>
    </xf>
    <xf numFmtId="178" fontId="17" fillId="0" borderId="37" xfId="0" applyNumberFormat="1" applyFont="1" applyFill="1" applyBorder="1" applyAlignment="1">
      <alignment horizontal="center" vertical="center" wrapText="1"/>
    </xf>
    <xf numFmtId="179" fontId="17" fillId="0" borderId="2" xfId="0" applyNumberFormat="1" applyFont="1" applyFill="1" applyBorder="1" applyAlignment="1">
      <alignment horizontal="center" vertical="center" wrapText="1"/>
    </xf>
    <xf numFmtId="0" fontId="15" fillId="0" borderId="39" xfId="0" applyFont="1" applyFill="1" applyBorder="1" applyAlignment="1">
      <alignment horizontal="center" vertical="center" wrapText="1"/>
    </xf>
    <xf numFmtId="178" fontId="17" fillId="0" borderId="3" xfId="0" applyNumberFormat="1" applyFont="1" applyFill="1" applyBorder="1" applyAlignment="1">
      <alignment horizontal="center" vertical="center" wrapText="1"/>
    </xf>
    <xf numFmtId="178" fontId="17" fillId="0" borderId="4" xfId="0" applyNumberFormat="1" applyFont="1" applyFill="1" applyBorder="1" applyAlignment="1">
      <alignment horizontal="center" vertical="center" wrapText="1"/>
    </xf>
    <xf numFmtId="178" fontId="17" fillId="0" borderId="26" xfId="0" applyNumberFormat="1" applyFont="1" applyFill="1" applyBorder="1" applyAlignment="1">
      <alignment horizontal="center" vertical="center" wrapText="1"/>
    </xf>
    <xf numFmtId="178" fontId="17" fillId="0" borderId="18" xfId="0" applyNumberFormat="1" applyFont="1" applyFill="1" applyBorder="1" applyAlignment="1">
      <alignment horizontal="center" vertical="center" wrapText="1"/>
    </xf>
    <xf numFmtId="178" fontId="17" fillId="0" borderId="19" xfId="0" applyNumberFormat="1" applyFont="1" applyFill="1" applyBorder="1" applyAlignment="1">
      <alignment horizontal="center" vertical="center" wrapText="1"/>
    </xf>
    <xf numFmtId="179" fontId="17" fillId="0" borderId="27" xfId="0" applyNumberFormat="1" applyFont="1" applyFill="1" applyBorder="1" applyAlignment="1">
      <alignment horizontal="center" vertical="center" wrapText="1"/>
    </xf>
    <xf numFmtId="179" fontId="17" fillId="0" borderId="28" xfId="0" applyNumberFormat="1" applyFont="1" applyFill="1" applyBorder="1" applyAlignment="1">
      <alignment horizontal="center" vertical="center" wrapText="1"/>
    </xf>
    <xf numFmtId="179" fontId="17" fillId="0" borderId="29" xfId="0" applyNumberFormat="1" applyFont="1" applyFill="1" applyBorder="1" applyAlignment="1">
      <alignment horizontal="center" vertical="center" wrapText="1"/>
    </xf>
    <xf numFmtId="179" fontId="15" fillId="0" borderId="17" xfId="0" applyNumberFormat="1" applyFont="1" applyFill="1" applyBorder="1" applyAlignment="1">
      <alignment horizontal="center" vertical="center" wrapText="1"/>
    </xf>
    <xf numFmtId="178" fontId="15" fillId="0" borderId="16" xfId="0" applyNumberFormat="1" applyFont="1" applyFill="1" applyBorder="1" applyAlignment="1">
      <alignment horizontal="center" vertical="center" wrapText="1"/>
    </xf>
    <xf numFmtId="178" fontId="15" fillId="0" borderId="17" xfId="0" applyNumberFormat="1" applyFont="1" applyFill="1" applyBorder="1" applyAlignment="1">
      <alignment horizontal="center" vertical="center" wrapText="1"/>
    </xf>
    <xf numFmtId="178" fontId="17" fillId="0" borderId="35" xfId="0" applyNumberFormat="1" applyFont="1" applyFill="1" applyBorder="1" applyAlignment="1">
      <alignment horizontal="center" vertical="center" wrapText="1"/>
    </xf>
    <xf numFmtId="178" fontId="17" fillId="0" borderId="36" xfId="0" applyNumberFormat="1" applyFont="1" applyFill="1" applyBorder="1" applyAlignment="1">
      <alignment horizontal="center" vertical="center" wrapText="1"/>
    </xf>
    <xf numFmtId="178" fontId="17" fillId="0" borderId="43" xfId="0" applyNumberFormat="1" applyFont="1" applyFill="1" applyBorder="1" applyAlignment="1">
      <alignment horizontal="center" vertical="center" wrapText="1"/>
    </xf>
    <xf numFmtId="178" fontId="17" fillId="0" borderId="44" xfId="0" applyNumberFormat="1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78" fontId="17" fillId="0" borderId="16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178" fontId="17" fillId="0" borderId="17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178" fontId="15" fillId="0" borderId="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178" fontId="15" fillId="0" borderId="3" xfId="0" applyNumberFormat="1" applyFont="1" applyBorder="1" applyAlignment="1">
      <alignment horizontal="center" vertical="center" wrapText="1"/>
    </xf>
    <xf numFmtId="178" fontId="15" fillId="0" borderId="4" xfId="0" applyNumberFormat="1" applyFont="1" applyBorder="1" applyAlignment="1">
      <alignment horizontal="center" vertical="center" wrapText="1"/>
    </xf>
    <xf numFmtId="178" fontId="17" fillId="0" borderId="18" xfId="0" applyNumberFormat="1" applyFont="1" applyBorder="1" applyAlignment="1">
      <alignment horizontal="center" vertical="center" wrapText="1"/>
    </xf>
    <xf numFmtId="178" fontId="17" fillId="0" borderId="19" xfId="0" applyNumberFormat="1" applyFont="1" applyBorder="1" applyAlignment="1">
      <alignment horizontal="center" vertical="center" wrapText="1"/>
    </xf>
    <xf numFmtId="178" fontId="17" fillId="0" borderId="14" xfId="0" applyNumberFormat="1" applyFont="1" applyBorder="1" applyAlignment="1">
      <alignment horizontal="center" vertical="center" wrapText="1"/>
    </xf>
    <xf numFmtId="178" fontId="15" fillId="0" borderId="8" xfId="0" applyNumberFormat="1" applyFont="1" applyBorder="1" applyAlignment="1">
      <alignment horizontal="center" vertical="center" wrapText="1"/>
    </xf>
    <xf numFmtId="178" fontId="15" fillId="0" borderId="14" xfId="0" applyNumberFormat="1" applyFont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 wrapText="1"/>
    </xf>
    <xf numFmtId="178" fontId="17" fillId="0" borderId="2" xfId="0" applyNumberFormat="1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4" xfId="0" applyNumberFormat="1" applyFont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178" fontId="17" fillId="0" borderId="39" xfId="0" applyNumberFormat="1" applyFont="1" applyFill="1" applyBorder="1" applyAlignment="1">
      <alignment horizontal="center" vertical="center" wrapText="1"/>
    </xf>
    <xf numFmtId="178" fontId="17" fillId="0" borderId="40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20" fontId="15" fillId="0" borderId="0" xfId="0" applyNumberFormat="1" applyFont="1" applyFill="1" applyAlignment="1">
      <alignment vertical="center"/>
    </xf>
    <xf numFmtId="0" fontId="18" fillId="0" borderId="1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178" fontId="18" fillId="0" borderId="35" xfId="0" applyNumberFormat="1" applyFont="1" applyFill="1" applyBorder="1" applyAlignment="1">
      <alignment horizontal="center" vertical="center" wrapText="1"/>
    </xf>
    <xf numFmtId="178" fontId="18" fillId="0" borderId="36" xfId="0" applyNumberFormat="1" applyFont="1" applyFill="1" applyBorder="1" applyAlignment="1">
      <alignment horizontal="center" vertical="center" wrapText="1"/>
    </xf>
    <xf numFmtId="178" fontId="18" fillId="0" borderId="38" xfId="0" applyNumberFormat="1" applyFont="1" applyFill="1" applyBorder="1" applyAlignment="1">
      <alignment horizontal="center"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178" fontId="18" fillId="2" borderId="2" xfId="0" applyNumberFormat="1" applyFont="1" applyFill="1" applyBorder="1" applyAlignment="1">
      <alignment horizontal="center" vertical="center" wrapText="1"/>
    </xf>
    <xf numFmtId="178" fontId="18" fillId="0" borderId="16" xfId="0" applyNumberFormat="1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178" fontId="18" fillId="0" borderId="17" xfId="0" applyNumberFormat="1" applyFont="1" applyFill="1" applyBorder="1" applyAlignment="1">
      <alignment horizontal="center" vertical="center" wrapText="1"/>
    </xf>
    <xf numFmtId="178" fontId="18" fillId="0" borderId="1" xfId="0" applyNumberFormat="1" applyFont="1" applyFill="1" applyBorder="1" applyAlignment="1">
      <alignment horizontal="center" vertical="center" wrapText="1"/>
    </xf>
    <xf numFmtId="178" fontId="18" fillId="0" borderId="2" xfId="0" applyNumberFormat="1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179" fontId="18" fillId="0" borderId="27" xfId="0" applyNumberFormat="1" applyFont="1" applyFill="1" applyBorder="1" applyAlignment="1">
      <alignment horizontal="center" vertical="center" wrapText="1"/>
    </xf>
    <xf numFmtId="179" fontId="18" fillId="0" borderId="28" xfId="0" applyNumberFormat="1" applyFont="1" applyFill="1" applyBorder="1" applyAlignment="1">
      <alignment horizontal="center" vertical="center" wrapText="1"/>
    </xf>
    <xf numFmtId="179" fontId="18" fillId="0" borderId="29" xfId="0" applyNumberFormat="1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178" fontId="18" fillId="0" borderId="25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/>
    </xf>
    <xf numFmtId="178" fontId="18" fillId="0" borderId="2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178" fontId="18" fillId="0" borderId="3" xfId="0" applyNumberFormat="1" applyFont="1" applyBorder="1" applyAlignment="1">
      <alignment horizontal="center" vertical="center" wrapText="1"/>
    </xf>
    <xf numFmtId="178" fontId="18" fillId="2" borderId="3" xfId="0" applyNumberFormat="1" applyFont="1" applyFill="1" applyBorder="1" applyAlignment="1">
      <alignment horizontal="center" vertical="center" wrapText="1"/>
    </xf>
    <xf numFmtId="178" fontId="18" fillId="0" borderId="4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178" fontId="18" fillId="0" borderId="16" xfId="0" applyNumberFormat="1" applyFont="1" applyBorder="1" applyAlignment="1">
      <alignment horizontal="center" vertical="center" wrapText="1"/>
    </xf>
    <xf numFmtId="178" fontId="18" fillId="0" borderId="17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78" fontId="19" fillId="2" borderId="1" xfId="0" applyNumberFormat="1" applyFont="1" applyFill="1" applyBorder="1" applyAlignment="1">
      <alignment horizontal="center" vertical="center" wrapText="1"/>
    </xf>
    <xf numFmtId="178" fontId="19" fillId="2" borderId="2" xfId="0" applyNumberFormat="1" applyFont="1" applyFill="1" applyBorder="1" applyAlignment="1">
      <alignment horizontal="center" vertical="center" wrapText="1"/>
    </xf>
    <xf numFmtId="178" fontId="19" fillId="0" borderId="16" xfId="0" applyNumberFormat="1" applyFont="1" applyBorder="1" applyAlignment="1">
      <alignment horizontal="center" vertical="center" wrapText="1"/>
    </xf>
    <xf numFmtId="178" fontId="19" fillId="0" borderId="17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78" fontId="19" fillId="2" borderId="3" xfId="0" applyNumberFormat="1" applyFont="1" applyFill="1" applyBorder="1" applyAlignment="1">
      <alignment horizontal="center" vertical="center" wrapText="1"/>
    </xf>
    <xf numFmtId="178" fontId="19" fillId="2" borderId="4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8" fontId="19" fillId="0" borderId="2" xfId="0" applyNumberFormat="1" applyFont="1" applyBorder="1" applyAlignment="1">
      <alignment horizontal="center" vertical="center" wrapText="1"/>
    </xf>
    <xf numFmtId="0" fontId="19" fillId="0" borderId="32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78" fontId="19" fillId="0" borderId="24" xfId="0" applyNumberFormat="1" applyFont="1" applyFill="1" applyBorder="1" applyAlignment="1">
      <alignment horizontal="center" vertical="center" wrapText="1"/>
    </xf>
    <xf numFmtId="178" fontId="19" fillId="0" borderId="20" xfId="0" applyNumberFormat="1" applyFont="1" applyFill="1" applyBorder="1" applyAlignment="1">
      <alignment horizontal="center" vertical="center" wrapText="1"/>
    </xf>
    <xf numFmtId="178" fontId="19" fillId="0" borderId="21" xfId="0" applyNumberFormat="1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178" fontId="19" fillId="0" borderId="1" xfId="0" applyNumberFormat="1" applyFont="1" applyFill="1" applyBorder="1" applyAlignment="1">
      <alignment horizontal="center" vertical="center" wrapText="1"/>
    </xf>
    <xf numFmtId="178" fontId="19" fillId="0" borderId="2" xfId="0" applyNumberFormat="1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178" fontId="19" fillId="0" borderId="25" xfId="0" applyNumberFormat="1" applyFont="1" applyFill="1" applyBorder="1" applyAlignment="1">
      <alignment horizontal="center" vertical="center" wrapText="1"/>
    </xf>
    <xf numFmtId="178" fontId="19" fillId="0" borderId="16" xfId="0" applyNumberFormat="1" applyFont="1" applyFill="1" applyBorder="1" applyAlignment="1">
      <alignment horizontal="center" vertical="center" wrapText="1"/>
    </xf>
    <xf numFmtId="178" fontId="19" fillId="0" borderId="17" xfId="0" applyNumberFormat="1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39" xfId="0" applyFont="1" applyFill="1" applyBorder="1" applyAlignment="1">
      <alignment horizontal="center" vertical="center" wrapText="1"/>
    </xf>
    <xf numFmtId="178" fontId="19" fillId="0" borderId="3" xfId="0" applyNumberFormat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79" fontId="15" fillId="0" borderId="16" xfId="0" applyNumberFormat="1" applyFont="1" applyFill="1" applyBorder="1" applyAlignment="1">
      <alignment horizontal="center" vertical="center" wrapText="1"/>
    </xf>
    <xf numFmtId="178" fontId="15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3245F6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351692</xdr:colOff>
      <xdr:row>31</xdr:row>
      <xdr:rowOff>20515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434861" y="429357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351692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213A15-C62D-489E-88BF-F99EF9BED5B1}"/>
            </a:ext>
          </a:extLst>
        </xdr:cNvPr>
        <xdr:cNvSpPr txBox="1"/>
      </xdr:nvSpPr>
      <xdr:spPr>
        <a:xfrm>
          <a:off x="3447317" y="44210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351692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21D8EB-E03D-46EB-B74E-CD76044202C3}"/>
            </a:ext>
          </a:extLst>
        </xdr:cNvPr>
        <xdr:cNvSpPr txBox="1"/>
      </xdr:nvSpPr>
      <xdr:spPr>
        <a:xfrm>
          <a:off x="3447317" y="44210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8"/>
  <sheetViews>
    <sheetView tabSelected="1" showWhiteSpace="0" view="pageLayout" zoomScale="130" zoomScaleNormal="130" zoomScaleSheetLayoutView="85" zoomScalePageLayoutView="130" workbookViewId="0">
      <selection activeCell="R7" sqref="R7"/>
    </sheetView>
  </sheetViews>
  <sheetFormatPr defaultColWidth="8.88671875" defaultRowHeight="13.5" x14ac:dyDescent="0.15"/>
  <cols>
    <col min="1" max="2" width="2.6640625" style="4" customWidth="1"/>
    <col min="3" max="3" width="6.33203125" style="5" customWidth="1"/>
    <col min="4" max="4" width="6.33203125" style="7" customWidth="1"/>
    <col min="5" max="5" width="6.33203125" style="5" customWidth="1"/>
    <col min="6" max="6" width="6.33203125" style="7" customWidth="1"/>
    <col min="7" max="7" width="1.5546875" style="3" customWidth="1"/>
    <col min="8" max="9" width="2.6640625" style="4" customWidth="1"/>
    <col min="10" max="10" width="6.33203125" style="5" customWidth="1"/>
    <col min="11" max="11" width="6.33203125" style="7" customWidth="1"/>
    <col min="12" max="12" width="6.33203125" style="5" customWidth="1"/>
    <col min="13" max="13" width="6.33203125" style="7" customWidth="1"/>
    <col min="14" max="14" width="1.5546875" style="3" customWidth="1"/>
    <col min="15" max="16" width="2.6640625" style="2" customWidth="1"/>
    <col min="17" max="17" width="6.33203125" style="6" customWidth="1"/>
    <col min="18" max="18" width="6.33203125" style="8" customWidth="1"/>
    <col min="19" max="19" width="6.33203125" style="6" customWidth="1"/>
    <col min="20" max="20" width="6.33203125" style="8" customWidth="1"/>
    <col min="21" max="16384" width="8.88671875" style="1"/>
  </cols>
  <sheetData>
    <row r="1" spans="1:20" s="9" customFormat="1" ht="20.25" customHeight="1" thickBot="1" x14ac:dyDescent="0.2">
      <c r="A1" s="226" t="s">
        <v>25</v>
      </c>
      <c r="B1" s="226"/>
      <c r="C1" s="226"/>
      <c r="D1" s="226"/>
      <c r="E1" s="226"/>
      <c r="F1" s="226"/>
      <c r="G1" s="155"/>
      <c r="H1" s="226" t="s">
        <v>26</v>
      </c>
      <c r="I1" s="226"/>
      <c r="J1" s="226"/>
      <c r="K1" s="226"/>
      <c r="L1" s="226"/>
      <c r="M1" s="226"/>
      <c r="N1" s="155"/>
      <c r="O1" s="226" t="s">
        <v>27</v>
      </c>
      <c r="P1" s="226"/>
      <c r="Q1" s="226"/>
      <c r="R1" s="226"/>
      <c r="S1" s="226"/>
      <c r="T1" s="226"/>
    </row>
    <row r="2" spans="1:20" ht="11.1" customHeight="1" x14ac:dyDescent="0.15">
      <c r="A2" s="222" t="s">
        <v>0</v>
      </c>
      <c r="B2" s="223"/>
      <c r="C2" s="227" t="s">
        <v>1</v>
      </c>
      <c r="D2" s="227"/>
      <c r="E2" s="227" t="s">
        <v>2</v>
      </c>
      <c r="F2" s="228"/>
      <c r="G2" s="156"/>
      <c r="H2" s="222" t="s">
        <v>0</v>
      </c>
      <c r="I2" s="223"/>
      <c r="J2" s="227" t="s">
        <v>1</v>
      </c>
      <c r="K2" s="227"/>
      <c r="L2" s="227" t="s">
        <v>2</v>
      </c>
      <c r="M2" s="228"/>
      <c r="N2" s="156"/>
      <c r="O2" s="222" t="s">
        <v>0</v>
      </c>
      <c r="P2" s="223"/>
      <c r="Q2" s="227" t="s">
        <v>1</v>
      </c>
      <c r="R2" s="227"/>
      <c r="S2" s="227" t="s">
        <v>2</v>
      </c>
      <c r="T2" s="228"/>
    </row>
    <row r="3" spans="1:20" ht="21.75" customHeight="1" thickBot="1" x14ac:dyDescent="0.2">
      <c r="A3" s="224"/>
      <c r="B3" s="225"/>
      <c r="C3" s="90" t="s">
        <v>3</v>
      </c>
      <c r="D3" s="90" t="s">
        <v>4</v>
      </c>
      <c r="E3" s="90" t="s">
        <v>3</v>
      </c>
      <c r="F3" s="91" t="s">
        <v>5</v>
      </c>
      <c r="G3" s="156"/>
      <c r="H3" s="224"/>
      <c r="I3" s="225"/>
      <c r="J3" s="90" t="s">
        <v>3</v>
      </c>
      <c r="K3" s="90" t="s">
        <v>4</v>
      </c>
      <c r="L3" s="90" t="s">
        <v>3</v>
      </c>
      <c r="M3" s="91" t="s">
        <v>5</v>
      </c>
      <c r="N3" s="156"/>
      <c r="O3" s="224"/>
      <c r="P3" s="225"/>
      <c r="Q3" s="90" t="s">
        <v>3</v>
      </c>
      <c r="R3" s="90" t="s">
        <v>4</v>
      </c>
      <c r="S3" s="90" t="s">
        <v>3</v>
      </c>
      <c r="T3" s="91" t="s">
        <v>5</v>
      </c>
    </row>
    <row r="4" spans="1:20" s="9" customFormat="1" ht="10.5" customHeight="1" x14ac:dyDescent="0.15">
      <c r="A4" s="126">
        <v>1</v>
      </c>
      <c r="B4" s="127" t="s">
        <v>22</v>
      </c>
      <c r="C4" s="92" t="s">
        <v>20</v>
      </c>
      <c r="D4" s="92">
        <v>1356</v>
      </c>
      <c r="E4" s="92">
        <v>1556</v>
      </c>
      <c r="F4" s="93" t="s">
        <v>20</v>
      </c>
      <c r="G4" s="156"/>
      <c r="H4" s="185">
        <v>1</v>
      </c>
      <c r="I4" s="177" t="s">
        <v>28</v>
      </c>
      <c r="J4" s="163" t="s">
        <v>20</v>
      </c>
      <c r="K4" s="163">
        <v>1517</v>
      </c>
      <c r="L4" s="163">
        <v>1819</v>
      </c>
      <c r="M4" s="164" t="s">
        <v>20</v>
      </c>
      <c r="N4" s="156"/>
      <c r="O4" s="185">
        <v>1</v>
      </c>
      <c r="P4" s="177" t="s">
        <v>28</v>
      </c>
      <c r="Q4" s="163" t="s">
        <v>20</v>
      </c>
      <c r="R4" s="186">
        <v>1446</v>
      </c>
      <c r="S4" s="186">
        <v>1657</v>
      </c>
      <c r="T4" s="164" t="s">
        <v>20</v>
      </c>
    </row>
    <row r="5" spans="1:20" s="9" customFormat="1" ht="10.5" customHeight="1" x14ac:dyDescent="0.15">
      <c r="A5" s="129">
        <v>2</v>
      </c>
      <c r="B5" s="127" t="s">
        <v>23</v>
      </c>
      <c r="C5" s="92" t="s">
        <v>20</v>
      </c>
      <c r="D5" s="92">
        <v>1431</v>
      </c>
      <c r="E5" s="92">
        <v>1720</v>
      </c>
      <c r="F5" s="93" t="s">
        <v>20</v>
      </c>
      <c r="G5" s="156"/>
      <c r="H5" s="129">
        <v>2</v>
      </c>
      <c r="I5" s="127" t="s">
        <v>29</v>
      </c>
      <c r="J5" s="92" t="s">
        <v>20</v>
      </c>
      <c r="K5" s="92">
        <v>1553</v>
      </c>
      <c r="L5" s="92">
        <v>1910</v>
      </c>
      <c r="M5" s="93">
        <v>448</v>
      </c>
      <c r="N5" s="156"/>
      <c r="O5" s="129">
        <v>2</v>
      </c>
      <c r="P5" s="127" t="s">
        <v>29</v>
      </c>
      <c r="Q5" s="92" t="s">
        <v>20</v>
      </c>
      <c r="R5" s="128">
        <v>1509</v>
      </c>
      <c r="S5" s="128">
        <v>1801</v>
      </c>
      <c r="T5" s="130">
        <v>355</v>
      </c>
    </row>
    <row r="6" spans="1:20" s="9" customFormat="1" ht="10.5" customHeight="1" x14ac:dyDescent="0.15">
      <c r="A6" s="188">
        <v>3</v>
      </c>
      <c r="B6" s="189" t="s">
        <v>24</v>
      </c>
      <c r="C6" s="190" t="s">
        <v>20</v>
      </c>
      <c r="D6" s="190">
        <v>1513</v>
      </c>
      <c r="E6" s="190">
        <v>1827</v>
      </c>
      <c r="F6" s="191" t="s">
        <v>20</v>
      </c>
      <c r="G6" s="156"/>
      <c r="H6" s="129">
        <v>3</v>
      </c>
      <c r="I6" s="127" t="s">
        <v>30</v>
      </c>
      <c r="J6" s="92">
        <v>628</v>
      </c>
      <c r="K6" s="92">
        <v>1631</v>
      </c>
      <c r="L6" s="92">
        <v>1949</v>
      </c>
      <c r="M6" s="93">
        <v>516</v>
      </c>
      <c r="N6" s="156"/>
      <c r="O6" s="129">
        <v>3</v>
      </c>
      <c r="P6" s="127" t="s">
        <v>30</v>
      </c>
      <c r="Q6" s="128">
        <v>533</v>
      </c>
      <c r="R6" s="128">
        <v>1540</v>
      </c>
      <c r="S6" s="128">
        <v>1844</v>
      </c>
      <c r="T6" s="130">
        <v>411</v>
      </c>
    </row>
    <row r="7" spans="1:20" s="9" customFormat="1" ht="10.5" customHeight="1" x14ac:dyDescent="0.15">
      <c r="A7" s="176">
        <v>4</v>
      </c>
      <c r="B7" s="177" t="s">
        <v>12</v>
      </c>
      <c r="C7" s="163" t="s">
        <v>20</v>
      </c>
      <c r="D7" s="163">
        <v>1558</v>
      </c>
      <c r="E7" s="163">
        <v>1922</v>
      </c>
      <c r="F7" s="164">
        <v>530</v>
      </c>
      <c r="G7" s="156"/>
      <c r="H7" s="129">
        <v>4</v>
      </c>
      <c r="I7" s="127" t="s">
        <v>19</v>
      </c>
      <c r="J7" s="92">
        <v>719</v>
      </c>
      <c r="K7" s="92">
        <v>1709</v>
      </c>
      <c r="L7" s="92">
        <v>2018</v>
      </c>
      <c r="M7" s="93">
        <v>549</v>
      </c>
      <c r="N7" s="156"/>
      <c r="O7" s="129">
        <v>4</v>
      </c>
      <c r="P7" s="127" t="s">
        <v>19</v>
      </c>
      <c r="Q7" s="128">
        <v>632</v>
      </c>
      <c r="R7" s="128">
        <v>1613</v>
      </c>
      <c r="S7" s="128">
        <v>1915</v>
      </c>
      <c r="T7" s="130">
        <v>438</v>
      </c>
    </row>
    <row r="8" spans="1:20" s="9" customFormat="1" ht="10.5" customHeight="1" x14ac:dyDescent="0.15">
      <c r="A8" s="129">
        <v>5</v>
      </c>
      <c r="B8" s="127" t="s">
        <v>6</v>
      </c>
      <c r="C8" s="92">
        <v>603</v>
      </c>
      <c r="D8" s="92">
        <v>1644</v>
      </c>
      <c r="E8" s="92">
        <v>2007</v>
      </c>
      <c r="F8" s="93">
        <v>601</v>
      </c>
      <c r="G8" s="156"/>
      <c r="H8" s="129">
        <v>5</v>
      </c>
      <c r="I8" s="127" t="s">
        <v>9</v>
      </c>
      <c r="J8" s="92">
        <v>758</v>
      </c>
      <c r="K8" s="92">
        <v>1747</v>
      </c>
      <c r="L8" s="92">
        <v>2039</v>
      </c>
      <c r="M8" s="93">
        <v>628</v>
      </c>
      <c r="N8" s="156"/>
      <c r="O8" s="129">
        <v>5</v>
      </c>
      <c r="P8" s="127" t="s">
        <v>9</v>
      </c>
      <c r="Q8" s="128">
        <v>714</v>
      </c>
      <c r="R8" s="128">
        <v>1647</v>
      </c>
      <c r="S8" s="128">
        <v>1939</v>
      </c>
      <c r="T8" s="130">
        <v>509</v>
      </c>
    </row>
    <row r="9" spans="1:20" s="9" customFormat="1" ht="10.5" customHeight="1" x14ac:dyDescent="0.15">
      <c r="A9" s="129">
        <v>6</v>
      </c>
      <c r="B9" s="127" t="s">
        <v>7</v>
      </c>
      <c r="C9" s="92">
        <v>701</v>
      </c>
      <c r="D9" s="92">
        <v>1729</v>
      </c>
      <c r="E9" s="92">
        <v>2043</v>
      </c>
      <c r="F9" s="93">
        <v>644</v>
      </c>
      <c r="G9" s="156"/>
      <c r="H9" s="129">
        <v>6</v>
      </c>
      <c r="I9" s="127" t="s">
        <v>10</v>
      </c>
      <c r="J9" s="92">
        <v>827</v>
      </c>
      <c r="K9" s="92">
        <v>1830</v>
      </c>
      <c r="L9" s="92">
        <v>2052</v>
      </c>
      <c r="M9" s="93">
        <v>716</v>
      </c>
      <c r="N9" s="156"/>
      <c r="O9" s="129">
        <v>6</v>
      </c>
      <c r="P9" s="127" t="s">
        <v>10</v>
      </c>
      <c r="Q9" s="128">
        <v>748</v>
      </c>
      <c r="R9" s="128">
        <v>1723</v>
      </c>
      <c r="S9" s="128">
        <v>1957</v>
      </c>
      <c r="T9" s="130">
        <v>542</v>
      </c>
    </row>
    <row r="10" spans="1:20" s="9" customFormat="1" ht="10.5" customHeight="1" x14ac:dyDescent="0.15">
      <c r="A10" s="129">
        <v>7</v>
      </c>
      <c r="B10" s="127" t="s">
        <v>8</v>
      </c>
      <c r="C10" s="92">
        <v>742</v>
      </c>
      <c r="D10" s="92">
        <v>1816</v>
      </c>
      <c r="E10" s="92">
        <v>2109</v>
      </c>
      <c r="F10" s="93" t="s">
        <v>20</v>
      </c>
      <c r="G10" s="156"/>
      <c r="H10" s="188">
        <v>7</v>
      </c>
      <c r="I10" s="189" t="s">
        <v>11</v>
      </c>
      <c r="J10" s="190">
        <v>843</v>
      </c>
      <c r="K10" s="190">
        <v>1927</v>
      </c>
      <c r="L10" s="190">
        <v>2048</v>
      </c>
      <c r="M10" s="191" t="s">
        <v>20</v>
      </c>
      <c r="N10" s="156"/>
      <c r="O10" s="188">
        <v>7</v>
      </c>
      <c r="P10" s="189" t="s">
        <v>11</v>
      </c>
      <c r="Q10" s="192">
        <v>814</v>
      </c>
      <c r="R10" s="192">
        <v>1803</v>
      </c>
      <c r="S10" s="192">
        <v>2008</v>
      </c>
      <c r="T10" s="193">
        <v>622</v>
      </c>
    </row>
    <row r="11" spans="1:20" s="9" customFormat="1" ht="10.5" customHeight="1" x14ac:dyDescent="0.15">
      <c r="A11" s="129">
        <v>8</v>
      </c>
      <c r="B11" s="127" t="s">
        <v>9</v>
      </c>
      <c r="C11" s="92" t="s">
        <v>20</v>
      </c>
      <c r="D11" s="92">
        <v>1909</v>
      </c>
      <c r="E11" s="92">
        <v>2124</v>
      </c>
      <c r="F11" s="93" t="s">
        <v>20</v>
      </c>
      <c r="G11" s="156"/>
      <c r="H11" s="176">
        <v>8</v>
      </c>
      <c r="I11" s="177" t="s">
        <v>12</v>
      </c>
      <c r="J11" s="163" t="s">
        <v>20</v>
      </c>
      <c r="K11" s="163" t="s">
        <v>20</v>
      </c>
      <c r="L11" s="163" t="s">
        <v>20</v>
      </c>
      <c r="M11" s="164" t="s">
        <v>20</v>
      </c>
      <c r="N11" s="156"/>
      <c r="O11" s="176">
        <v>8</v>
      </c>
      <c r="P11" s="177" t="s">
        <v>12</v>
      </c>
      <c r="Q11" s="186">
        <v>832</v>
      </c>
      <c r="R11" s="186">
        <v>1859</v>
      </c>
      <c r="S11" s="186">
        <v>2002</v>
      </c>
      <c r="T11" s="187">
        <v>716</v>
      </c>
    </row>
    <row r="12" spans="1:20" s="9" customFormat="1" ht="10.5" customHeight="1" x14ac:dyDescent="0.15">
      <c r="A12" s="129">
        <v>9</v>
      </c>
      <c r="B12" s="127" t="s">
        <v>10</v>
      </c>
      <c r="C12" s="92" t="s">
        <v>20</v>
      </c>
      <c r="D12" s="92">
        <v>2008</v>
      </c>
      <c r="E12" s="92">
        <v>2110</v>
      </c>
      <c r="F12" s="93" t="s">
        <v>20</v>
      </c>
      <c r="G12" s="156"/>
      <c r="H12" s="129">
        <v>9</v>
      </c>
      <c r="I12" s="127" t="s">
        <v>6</v>
      </c>
      <c r="J12" s="92" t="s">
        <v>20</v>
      </c>
      <c r="K12" s="92" t="s">
        <v>20</v>
      </c>
      <c r="L12" s="92" t="s">
        <v>20</v>
      </c>
      <c r="M12" s="93" t="s">
        <v>20</v>
      </c>
      <c r="N12" s="156"/>
      <c r="O12" s="129">
        <v>9</v>
      </c>
      <c r="P12" s="127" t="s">
        <v>6</v>
      </c>
      <c r="Q12" s="128">
        <v>834</v>
      </c>
      <c r="R12" s="92" t="s">
        <v>20</v>
      </c>
      <c r="S12" s="92" t="s">
        <v>20</v>
      </c>
      <c r="T12" s="93" t="s">
        <v>20</v>
      </c>
    </row>
    <row r="13" spans="1:20" s="9" customFormat="1" ht="10.5" customHeight="1" x14ac:dyDescent="0.15">
      <c r="A13" s="188">
        <v>10</v>
      </c>
      <c r="B13" s="189" t="s">
        <v>11</v>
      </c>
      <c r="C13" s="190" t="s">
        <v>20</v>
      </c>
      <c r="D13" s="190" t="s">
        <v>20</v>
      </c>
      <c r="E13" s="190" t="s">
        <v>20</v>
      </c>
      <c r="F13" s="191" t="s">
        <v>20</v>
      </c>
      <c r="G13" s="156"/>
      <c r="H13" s="129">
        <v>10</v>
      </c>
      <c r="I13" s="127" t="s">
        <v>7</v>
      </c>
      <c r="J13" s="92" t="s">
        <v>20</v>
      </c>
      <c r="K13" s="92" t="s">
        <v>20</v>
      </c>
      <c r="L13" s="92" t="s">
        <v>20</v>
      </c>
      <c r="M13" s="93" t="s">
        <v>20</v>
      </c>
      <c r="N13" s="156"/>
      <c r="O13" s="129">
        <v>10</v>
      </c>
      <c r="P13" s="127" t="s">
        <v>7</v>
      </c>
      <c r="Q13" s="92" t="s">
        <v>20</v>
      </c>
      <c r="R13" s="92" t="s">
        <v>20</v>
      </c>
      <c r="S13" s="92" t="s">
        <v>20</v>
      </c>
      <c r="T13" s="93" t="s">
        <v>20</v>
      </c>
    </row>
    <row r="14" spans="1:20" s="9" customFormat="1" ht="10.5" customHeight="1" x14ac:dyDescent="0.15">
      <c r="A14" s="176">
        <v>11</v>
      </c>
      <c r="B14" s="177" t="s">
        <v>12</v>
      </c>
      <c r="C14" s="163" t="s">
        <v>20</v>
      </c>
      <c r="D14" s="163" t="s">
        <v>20</v>
      </c>
      <c r="E14" s="163" t="s">
        <v>20</v>
      </c>
      <c r="F14" s="164" t="s">
        <v>20</v>
      </c>
      <c r="G14" s="156"/>
      <c r="H14" s="129">
        <v>11</v>
      </c>
      <c r="I14" s="127" t="s">
        <v>8</v>
      </c>
      <c r="J14" s="92" t="s">
        <v>20</v>
      </c>
      <c r="K14" s="92" t="s">
        <v>20</v>
      </c>
      <c r="L14" s="92" t="s">
        <v>20</v>
      </c>
      <c r="M14" s="93" t="s">
        <v>20</v>
      </c>
      <c r="N14" s="157"/>
      <c r="O14" s="129">
        <v>11</v>
      </c>
      <c r="P14" s="127" t="s">
        <v>8</v>
      </c>
      <c r="Q14" s="92" t="s">
        <v>20</v>
      </c>
      <c r="R14" s="92" t="s">
        <v>20</v>
      </c>
      <c r="S14" s="92" t="s">
        <v>20</v>
      </c>
      <c r="T14" s="93" t="s">
        <v>20</v>
      </c>
    </row>
    <row r="15" spans="1:20" s="9" customFormat="1" ht="10.5" customHeight="1" x14ac:dyDescent="0.15">
      <c r="A15" s="129">
        <v>12</v>
      </c>
      <c r="B15" s="127" t="s">
        <v>6</v>
      </c>
      <c r="C15" s="92" t="s">
        <v>20</v>
      </c>
      <c r="D15" s="92" t="s">
        <v>20</v>
      </c>
      <c r="E15" s="92" t="s">
        <v>20</v>
      </c>
      <c r="F15" s="93" t="s">
        <v>20</v>
      </c>
      <c r="G15" s="156"/>
      <c r="H15" s="129">
        <v>12</v>
      </c>
      <c r="I15" s="127" t="s">
        <v>9</v>
      </c>
      <c r="J15" s="92" t="s">
        <v>20</v>
      </c>
      <c r="K15" s="92" t="s">
        <v>20</v>
      </c>
      <c r="L15" s="92" t="s">
        <v>20</v>
      </c>
      <c r="M15" s="93" t="s">
        <v>20</v>
      </c>
      <c r="N15" s="156"/>
      <c r="O15" s="129">
        <v>12</v>
      </c>
      <c r="P15" s="127" t="s">
        <v>9</v>
      </c>
      <c r="Q15" s="92" t="s">
        <v>20</v>
      </c>
      <c r="R15" s="92" t="s">
        <v>20</v>
      </c>
      <c r="S15" s="92" t="s">
        <v>20</v>
      </c>
      <c r="T15" s="93" t="s">
        <v>20</v>
      </c>
    </row>
    <row r="16" spans="1:20" s="9" customFormat="1" ht="10.5" customHeight="1" x14ac:dyDescent="0.15">
      <c r="A16" s="129">
        <v>13</v>
      </c>
      <c r="B16" s="127" t="s">
        <v>7</v>
      </c>
      <c r="C16" s="92" t="s">
        <v>20</v>
      </c>
      <c r="D16" s="92" t="s">
        <v>20</v>
      </c>
      <c r="E16" s="92" t="s">
        <v>20</v>
      </c>
      <c r="F16" s="93" t="s">
        <v>20</v>
      </c>
      <c r="G16" s="156"/>
      <c r="H16" s="129">
        <v>13</v>
      </c>
      <c r="I16" s="127" t="s">
        <v>10</v>
      </c>
      <c r="J16" s="92" t="s">
        <v>20</v>
      </c>
      <c r="K16" s="92" t="s">
        <v>20</v>
      </c>
      <c r="L16" s="92" t="s">
        <v>20</v>
      </c>
      <c r="M16" s="93" t="s">
        <v>20</v>
      </c>
      <c r="N16" s="156"/>
      <c r="O16" s="129">
        <v>13</v>
      </c>
      <c r="P16" s="127" t="s">
        <v>10</v>
      </c>
      <c r="Q16" s="92" t="s">
        <v>20</v>
      </c>
      <c r="R16" s="92" t="s">
        <v>20</v>
      </c>
      <c r="S16" s="92" t="s">
        <v>20</v>
      </c>
      <c r="T16" s="93" t="s">
        <v>20</v>
      </c>
    </row>
    <row r="17" spans="1:20" s="9" customFormat="1" ht="10.5" customHeight="1" x14ac:dyDescent="0.15">
      <c r="A17" s="129">
        <v>14</v>
      </c>
      <c r="B17" s="127" t="s">
        <v>8</v>
      </c>
      <c r="C17" s="92" t="s">
        <v>20</v>
      </c>
      <c r="D17" s="92" t="s">
        <v>20</v>
      </c>
      <c r="E17" s="92" t="s">
        <v>20</v>
      </c>
      <c r="F17" s="93" t="s">
        <v>20</v>
      </c>
      <c r="G17" s="156"/>
      <c r="H17" s="188">
        <v>14</v>
      </c>
      <c r="I17" s="189" t="s">
        <v>11</v>
      </c>
      <c r="J17" s="190" t="s">
        <v>20</v>
      </c>
      <c r="K17" s="190" t="s">
        <v>20</v>
      </c>
      <c r="L17" s="190" t="s">
        <v>20</v>
      </c>
      <c r="M17" s="191" t="s">
        <v>20</v>
      </c>
      <c r="N17" s="156"/>
      <c r="O17" s="188">
        <v>14</v>
      </c>
      <c r="P17" s="189" t="s">
        <v>11</v>
      </c>
      <c r="Q17" s="190" t="s">
        <v>20</v>
      </c>
      <c r="R17" s="190" t="s">
        <v>20</v>
      </c>
      <c r="S17" s="190" t="s">
        <v>20</v>
      </c>
      <c r="T17" s="191" t="s">
        <v>20</v>
      </c>
    </row>
    <row r="18" spans="1:20" s="9" customFormat="1" ht="10.5" customHeight="1" x14ac:dyDescent="0.15">
      <c r="A18" s="129">
        <v>15</v>
      </c>
      <c r="B18" s="127" t="s">
        <v>9</v>
      </c>
      <c r="C18" s="92" t="s">
        <v>20</v>
      </c>
      <c r="D18" s="92" t="s">
        <v>20</v>
      </c>
      <c r="E18" s="92" t="s">
        <v>20</v>
      </c>
      <c r="F18" s="93" t="s">
        <v>20</v>
      </c>
      <c r="G18" s="156"/>
      <c r="H18" s="176">
        <v>15</v>
      </c>
      <c r="I18" s="177" t="s">
        <v>12</v>
      </c>
      <c r="J18" s="163" t="s">
        <v>20</v>
      </c>
      <c r="K18" s="163" t="s">
        <v>20</v>
      </c>
      <c r="L18" s="163" t="s">
        <v>20</v>
      </c>
      <c r="M18" s="164" t="s">
        <v>20</v>
      </c>
      <c r="N18" s="156"/>
      <c r="O18" s="176">
        <v>15</v>
      </c>
      <c r="P18" s="177" t="s">
        <v>12</v>
      </c>
      <c r="Q18" s="163" t="s">
        <v>20</v>
      </c>
      <c r="R18" s="163" t="s">
        <v>20</v>
      </c>
      <c r="S18" s="163" t="s">
        <v>20</v>
      </c>
      <c r="T18" s="164" t="s">
        <v>20</v>
      </c>
    </row>
    <row r="19" spans="1:20" s="9" customFormat="1" ht="10.5" customHeight="1" x14ac:dyDescent="0.15">
      <c r="A19" s="129">
        <v>16</v>
      </c>
      <c r="B19" s="127" t="s">
        <v>10</v>
      </c>
      <c r="C19" s="92" t="s">
        <v>20</v>
      </c>
      <c r="D19" s="92" t="s">
        <v>20</v>
      </c>
      <c r="E19" s="92" t="s">
        <v>20</v>
      </c>
      <c r="F19" s="93" t="s">
        <v>20</v>
      </c>
      <c r="G19" s="156"/>
      <c r="H19" s="129">
        <v>16</v>
      </c>
      <c r="I19" s="127" t="s">
        <v>6</v>
      </c>
      <c r="J19" s="92" t="s">
        <v>20</v>
      </c>
      <c r="K19" s="92">
        <v>1535</v>
      </c>
      <c r="L19" s="92">
        <v>1737</v>
      </c>
      <c r="M19" s="93" t="s">
        <v>20</v>
      </c>
      <c r="N19" s="156"/>
      <c r="O19" s="129">
        <v>16</v>
      </c>
      <c r="P19" s="127" t="s">
        <v>6</v>
      </c>
      <c r="Q19" s="92" t="s">
        <v>20</v>
      </c>
      <c r="R19" s="92" t="s">
        <v>20</v>
      </c>
      <c r="S19" s="92" t="s">
        <v>20</v>
      </c>
      <c r="T19" s="93" t="s">
        <v>20</v>
      </c>
    </row>
    <row r="20" spans="1:20" s="9" customFormat="1" ht="10.5" customHeight="1" x14ac:dyDescent="0.15">
      <c r="A20" s="188">
        <v>17</v>
      </c>
      <c r="B20" s="189" t="s">
        <v>11</v>
      </c>
      <c r="C20" s="190" t="s">
        <v>20</v>
      </c>
      <c r="D20" s="190">
        <v>1550</v>
      </c>
      <c r="E20" s="190">
        <v>1646</v>
      </c>
      <c r="F20" s="191" t="s">
        <v>20</v>
      </c>
      <c r="G20" s="156"/>
      <c r="H20" s="129">
        <v>17</v>
      </c>
      <c r="I20" s="127" t="s">
        <v>7</v>
      </c>
      <c r="J20" s="92" t="s">
        <v>20</v>
      </c>
      <c r="K20" s="92">
        <v>1549</v>
      </c>
      <c r="L20" s="92">
        <v>1829</v>
      </c>
      <c r="M20" s="93">
        <v>441</v>
      </c>
      <c r="N20" s="156"/>
      <c r="O20" s="129">
        <v>17</v>
      </c>
      <c r="P20" s="127" t="s">
        <v>7</v>
      </c>
      <c r="Q20" s="92" t="s">
        <v>20</v>
      </c>
      <c r="R20" s="128">
        <v>1509</v>
      </c>
      <c r="S20" s="128">
        <v>1701</v>
      </c>
      <c r="T20" s="130">
        <v>348</v>
      </c>
    </row>
    <row r="21" spans="1:20" s="9" customFormat="1" ht="10.5" customHeight="1" x14ac:dyDescent="0.15">
      <c r="A21" s="176">
        <v>18</v>
      </c>
      <c r="B21" s="177" t="s">
        <v>12</v>
      </c>
      <c r="C21" s="163" t="s">
        <v>20</v>
      </c>
      <c r="D21" s="163">
        <v>1553</v>
      </c>
      <c r="E21" s="163">
        <v>1756</v>
      </c>
      <c r="F21" s="164" t="s">
        <v>20</v>
      </c>
      <c r="G21" s="156"/>
      <c r="H21" s="129">
        <v>18</v>
      </c>
      <c r="I21" s="127" t="s">
        <v>8</v>
      </c>
      <c r="J21" s="92">
        <v>559</v>
      </c>
      <c r="K21" s="92">
        <v>1614</v>
      </c>
      <c r="L21" s="92">
        <v>1909</v>
      </c>
      <c r="M21" s="93">
        <v>454</v>
      </c>
      <c r="N21" s="156"/>
      <c r="O21" s="129">
        <v>18</v>
      </c>
      <c r="P21" s="127" t="s">
        <v>8</v>
      </c>
      <c r="Q21" s="128">
        <v>451</v>
      </c>
      <c r="R21" s="128">
        <v>1522</v>
      </c>
      <c r="S21" s="128">
        <v>1756</v>
      </c>
      <c r="T21" s="130">
        <v>347</v>
      </c>
    </row>
    <row r="22" spans="1:20" s="9" customFormat="1" ht="10.5" customHeight="1" x14ac:dyDescent="0.15">
      <c r="A22" s="129">
        <v>19</v>
      </c>
      <c r="B22" s="127" t="s">
        <v>6</v>
      </c>
      <c r="C22" s="92" t="s">
        <v>20</v>
      </c>
      <c r="D22" s="92">
        <v>1613</v>
      </c>
      <c r="E22" s="92">
        <v>1844</v>
      </c>
      <c r="F22" s="93" t="s">
        <v>20</v>
      </c>
      <c r="G22" s="156"/>
      <c r="H22" s="129">
        <v>19</v>
      </c>
      <c r="I22" s="127" t="s">
        <v>9</v>
      </c>
      <c r="J22" s="92">
        <v>655</v>
      </c>
      <c r="K22" s="92">
        <v>1644</v>
      </c>
      <c r="L22" s="92">
        <v>1943</v>
      </c>
      <c r="M22" s="93">
        <v>519</v>
      </c>
      <c r="N22" s="156"/>
      <c r="O22" s="129">
        <v>19</v>
      </c>
      <c r="P22" s="127" t="s">
        <v>9</v>
      </c>
      <c r="Q22" s="106">
        <v>605</v>
      </c>
      <c r="R22" s="106">
        <v>1548</v>
      </c>
      <c r="S22" s="106">
        <v>1838</v>
      </c>
      <c r="T22" s="130">
        <v>408</v>
      </c>
    </row>
    <row r="23" spans="1:20" s="9" customFormat="1" ht="10.5" customHeight="1" x14ac:dyDescent="0.15">
      <c r="A23" s="129">
        <v>20</v>
      </c>
      <c r="B23" s="127" t="s">
        <v>7</v>
      </c>
      <c r="C23" s="92" t="s">
        <v>20</v>
      </c>
      <c r="D23" s="92">
        <v>1640</v>
      </c>
      <c r="E23" s="92">
        <v>1924</v>
      </c>
      <c r="F23" s="93" t="s">
        <v>20</v>
      </c>
      <c r="G23" s="156"/>
      <c r="H23" s="129">
        <v>20</v>
      </c>
      <c r="I23" s="127" t="s">
        <v>10</v>
      </c>
      <c r="J23" s="92">
        <v>739</v>
      </c>
      <c r="K23" s="92">
        <v>1717</v>
      </c>
      <c r="L23" s="92">
        <v>2012</v>
      </c>
      <c r="M23" s="93">
        <v>550</v>
      </c>
      <c r="N23" s="156"/>
      <c r="O23" s="129">
        <v>20</v>
      </c>
      <c r="P23" s="127" t="s">
        <v>10</v>
      </c>
      <c r="Q23" s="106">
        <v>656</v>
      </c>
      <c r="R23" s="106">
        <v>1620</v>
      </c>
      <c r="S23" s="106">
        <v>1913</v>
      </c>
      <c r="T23" s="130">
        <v>437</v>
      </c>
    </row>
    <row r="24" spans="1:20" s="9" customFormat="1" ht="10.5" customHeight="1" x14ac:dyDescent="0.15">
      <c r="A24" s="129">
        <v>21</v>
      </c>
      <c r="B24" s="127" t="s">
        <v>8</v>
      </c>
      <c r="C24" s="92" t="s">
        <v>20</v>
      </c>
      <c r="D24" s="92">
        <v>1709</v>
      </c>
      <c r="E24" s="92">
        <v>1959</v>
      </c>
      <c r="F24" s="93">
        <v>619</v>
      </c>
      <c r="G24" s="156"/>
      <c r="H24" s="188">
        <v>21</v>
      </c>
      <c r="I24" s="189" t="s">
        <v>11</v>
      </c>
      <c r="J24" s="190">
        <v>818</v>
      </c>
      <c r="K24" s="190">
        <v>1756</v>
      </c>
      <c r="L24" s="190">
        <v>2035</v>
      </c>
      <c r="M24" s="191">
        <v>629</v>
      </c>
      <c r="N24" s="156"/>
      <c r="O24" s="188">
        <v>21</v>
      </c>
      <c r="P24" s="189" t="s">
        <v>11</v>
      </c>
      <c r="Q24" s="211">
        <v>740</v>
      </c>
      <c r="R24" s="211">
        <v>1658</v>
      </c>
      <c r="S24" s="211">
        <v>1941</v>
      </c>
      <c r="T24" s="193">
        <v>512</v>
      </c>
    </row>
    <row r="25" spans="1:20" s="9" customFormat="1" ht="10.5" customHeight="1" x14ac:dyDescent="0.15">
      <c r="A25" s="129">
        <v>22</v>
      </c>
      <c r="B25" s="127" t="s">
        <v>9</v>
      </c>
      <c r="C25" s="92">
        <v>712</v>
      </c>
      <c r="D25" s="92">
        <v>1743</v>
      </c>
      <c r="E25" s="92">
        <v>2029</v>
      </c>
      <c r="F25" s="93">
        <v>649</v>
      </c>
      <c r="G25" s="156"/>
      <c r="H25" s="176">
        <v>22</v>
      </c>
      <c r="I25" s="177" t="s">
        <v>12</v>
      </c>
      <c r="J25" s="163">
        <v>851</v>
      </c>
      <c r="K25" s="163">
        <v>1846</v>
      </c>
      <c r="L25" s="163">
        <v>2051</v>
      </c>
      <c r="M25" s="164">
        <v>720</v>
      </c>
      <c r="N25" s="156"/>
      <c r="O25" s="176">
        <v>22</v>
      </c>
      <c r="P25" s="177" t="s">
        <v>12</v>
      </c>
      <c r="Q25" s="165">
        <v>818</v>
      </c>
      <c r="R25" s="165">
        <v>1743</v>
      </c>
      <c r="S25" s="165">
        <v>2004</v>
      </c>
      <c r="T25" s="187">
        <v>554</v>
      </c>
    </row>
    <row r="26" spans="1:20" s="9" customFormat="1" ht="10.5" customHeight="1" x14ac:dyDescent="0.15">
      <c r="A26" s="129">
        <v>23</v>
      </c>
      <c r="B26" s="127" t="s">
        <v>10</v>
      </c>
      <c r="C26" s="92">
        <v>753</v>
      </c>
      <c r="D26" s="92">
        <v>1821</v>
      </c>
      <c r="E26" s="92">
        <v>2055</v>
      </c>
      <c r="F26" s="93">
        <v>731</v>
      </c>
      <c r="G26" s="156"/>
      <c r="H26" s="129">
        <v>23</v>
      </c>
      <c r="I26" s="127" t="s">
        <v>6</v>
      </c>
      <c r="J26" s="92">
        <v>918</v>
      </c>
      <c r="K26" s="92" t="s">
        <v>20</v>
      </c>
      <c r="L26" s="92" t="s">
        <v>20</v>
      </c>
      <c r="M26" s="93" t="s">
        <v>20</v>
      </c>
      <c r="N26" s="156"/>
      <c r="O26" s="129">
        <v>23</v>
      </c>
      <c r="P26" s="127" t="s">
        <v>6</v>
      </c>
      <c r="Q26" s="106">
        <v>852</v>
      </c>
      <c r="R26" s="106">
        <v>1842</v>
      </c>
      <c r="S26" s="106">
        <v>2013</v>
      </c>
      <c r="T26" s="130">
        <v>648</v>
      </c>
    </row>
    <row r="27" spans="1:20" s="9" customFormat="1" ht="10.5" customHeight="1" x14ac:dyDescent="0.15">
      <c r="A27" s="188">
        <v>24</v>
      </c>
      <c r="B27" s="189" t="s">
        <v>11</v>
      </c>
      <c r="C27" s="190">
        <v>825</v>
      </c>
      <c r="D27" s="190">
        <v>1910</v>
      </c>
      <c r="E27" s="190">
        <v>2114</v>
      </c>
      <c r="F27" s="191" t="s">
        <v>20</v>
      </c>
      <c r="G27" s="156"/>
      <c r="H27" s="129">
        <v>24</v>
      </c>
      <c r="I27" s="127" t="s">
        <v>7</v>
      </c>
      <c r="J27" s="92" t="s">
        <v>20</v>
      </c>
      <c r="K27" s="92" t="s">
        <v>20</v>
      </c>
      <c r="L27" s="92" t="s">
        <v>20</v>
      </c>
      <c r="M27" s="93" t="s">
        <v>20</v>
      </c>
      <c r="N27" s="156"/>
      <c r="O27" s="129">
        <v>24</v>
      </c>
      <c r="P27" s="127" t="s">
        <v>7</v>
      </c>
      <c r="Q27" s="106">
        <v>919</v>
      </c>
      <c r="R27" s="103" t="s">
        <v>20</v>
      </c>
      <c r="S27" s="103" t="s">
        <v>20</v>
      </c>
      <c r="T27" s="130">
        <v>818</v>
      </c>
    </row>
    <row r="28" spans="1:20" s="9" customFormat="1" ht="10.5" customHeight="1" x14ac:dyDescent="0.15">
      <c r="A28" s="176">
        <v>25</v>
      </c>
      <c r="B28" s="177" t="s">
        <v>12</v>
      </c>
      <c r="C28" s="163" t="s">
        <v>20</v>
      </c>
      <c r="D28" s="163">
        <v>2033</v>
      </c>
      <c r="E28" s="163">
        <v>2107</v>
      </c>
      <c r="F28" s="164" t="s">
        <v>20</v>
      </c>
      <c r="G28" s="156"/>
      <c r="H28" s="129">
        <v>25</v>
      </c>
      <c r="I28" s="127" t="s">
        <v>8</v>
      </c>
      <c r="J28" s="92" t="s">
        <v>20</v>
      </c>
      <c r="K28" s="92" t="s">
        <v>20</v>
      </c>
      <c r="L28" s="92" t="s">
        <v>20</v>
      </c>
      <c r="M28" s="93" t="s">
        <v>20</v>
      </c>
      <c r="N28" s="156"/>
      <c r="O28" s="129">
        <v>25</v>
      </c>
      <c r="P28" s="127" t="s">
        <v>8</v>
      </c>
      <c r="Q28" s="106">
        <v>923</v>
      </c>
      <c r="R28" s="103" t="s">
        <v>20</v>
      </c>
      <c r="S28" s="103" t="s">
        <v>20</v>
      </c>
      <c r="T28" s="93" t="s">
        <v>20</v>
      </c>
    </row>
    <row r="29" spans="1:20" s="9" customFormat="1" ht="10.5" customHeight="1" x14ac:dyDescent="0.15">
      <c r="A29" s="129">
        <v>26</v>
      </c>
      <c r="B29" s="127" t="s">
        <v>6</v>
      </c>
      <c r="C29" s="92" t="s">
        <v>20</v>
      </c>
      <c r="D29" s="92" t="s">
        <v>20</v>
      </c>
      <c r="E29" s="92" t="s">
        <v>20</v>
      </c>
      <c r="F29" s="93" t="s">
        <v>20</v>
      </c>
      <c r="G29" s="156"/>
      <c r="H29" s="129">
        <v>26</v>
      </c>
      <c r="I29" s="127" t="s">
        <v>9</v>
      </c>
      <c r="J29" s="92" t="s">
        <v>20</v>
      </c>
      <c r="K29" s="92" t="s">
        <v>20</v>
      </c>
      <c r="L29" s="92" t="s">
        <v>20</v>
      </c>
      <c r="M29" s="93" t="s">
        <v>20</v>
      </c>
      <c r="N29" s="156"/>
      <c r="O29" s="129">
        <v>26</v>
      </c>
      <c r="P29" s="127" t="s">
        <v>9</v>
      </c>
      <c r="Q29" s="92" t="s">
        <v>20</v>
      </c>
      <c r="R29" s="92" t="s">
        <v>20</v>
      </c>
      <c r="S29" s="92" t="s">
        <v>20</v>
      </c>
      <c r="T29" s="93" t="s">
        <v>20</v>
      </c>
    </row>
    <row r="30" spans="1:20" s="9" customFormat="1" ht="10.5" customHeight="1" x14ac:dyDescent="0.15">
      <c r="A30" s="129">
        <v>27</v>
      </c>
      <c r="B30" s="127" t="s">
        <v>7</v>
      </c>
      <c r="C30" s="92" t="s">
        <v>20</v>
      </c>
      <c r="D30" s="92" t="s">
        <v>20</v>
      </c>
      <c r="E30" s="92" t="s">
        <v>20</v>
      </c>
      <c r="F30" s="93" t="s">
        <v>20</v>
      </c>
      <c r="G30" s="156"/>
      <c r="H30" s="129">
        <v>27</v>
      </c>
      <c r="I30" s="127" t="s">
        <v>10</v>
      </c>
      <c r="J30" s="92" t="s">
        <v>20</v>
      </c>
      <c r="K30" s="92" t="s">
        <v>20</v>
      </c>
      <c r="L30" s="92" t="s">
        <v>20</v>
      </c>
      <c r="M30" s="93" t="s">
        <v>20</v>
      </c>
      <c r="N30" s="156"/>
      <c r="O30" s="129">
        <v>27</v>
      </c>
      <c r="P30" s="127" t="s">
        <v>10</v>
      </c>
      <c r="Q30" s="92" t="s">
        <v>20</v>
      </c>
      <c r="R30" s="92" t="s">
        <v>20</v>
      </c>
      <c r="S30" s="92" t="s">
        <v>20</v>
      </c>
      <c r="T30" s="93" t="s">
        <v>20</v>
      </c>
    </row>
    <row r="31" spans="1:20" s="9" customFormat="1" ht="10.5" customHeight="1" x14ac:dyDescent="0.15">
      <c r="A31" s="129">
        <v>28</v>
      </c>
      <c r="B31" s="127" t="s">
        <v>8</v>
      </c>
      <c r="C31" s="92" t="s">
        <v>20</v>
      </c>
      <c r="D31" s="92" t="s">
        <v>20</v>
      </c>
      <c r="E31" s="92" t="s">
        <v>20</v>
      </c>
      <c r="F31" s="93" t="s">
        <v>20</v>
      </c>
      <c r="G31" s="156"/>
      <c r="H31" s="188">
        <v>28</v>
      </c>
      <c r="I31" s="189" t="s">
        <v>11</v>
      </c>
      <c r="J31" s="190" t="s">
        <v>20</v>
      </c>
      <c r="K31" s="190" t="s">
        <v>20</v>
      </c>
      <c r="L31" s="190" t="s">
        <v>20</v>
      </c>
      <c r="M31" s="191" t="s">
        <v>20</v>
      </c>
      <c r="N31" s="156"/>
      <c r="O31" s="188">
        <v>28</v>
      </c>
      <c r="P31" s="189" t="s">
        <v>11</v>
      </c>
      <c r="Q31" s="190" t="s">
        <v>20</v>
      </c>
      <c r="R31" s="190" t="s">
        <v>20</v>
      </c>
      <c r="S31" s="190" t="s">
        <v>20</v>
      </c>
      <c r="T31" s="191" t="s">
        <v>20</v>
      </c>
    </row>
    <row r="32" spans="1:20" s="9" customFormat="1" ht="10.5" customHeight="1" x14ac:dyDescent="0.15">
      <c r="A32" s="129">
        <v>29</v>
      </c>
      <c r="B32" s="127" t="s">
        <v>9</v>
      </c>
      <c r="C32" s="92" t="s">
        <v>20</v>
      </c>
      <c r="D32" s="92" t="s">
        <v>20</v>
      </c>
      <c r="E32" s="92" t="s">
        <v>20</v>
      </c>
      <c r="F32" s="93" t="s">
        <v>20</v>
      </c>
      <c r="G32" s="156"/>
      <c r="H32" s="129"/>
      <c r="I32" s="131"/>
      <c r="J32" s="92"/>
      <c r="K32" s="92"/>
      <c r="L32" s="92"/>
      <c r="M32" s="93"/>
      <c r="N32" s="156"/>
      <c r="O32" s="176">
        <v>29</v>
      </c>
      <c r="P32" s="177" t="s">
        <v>12</v>
      </c>
      <c r="Q32" s="163" t="s">
        <v>20</v>
      </c>
      <c r="R32" s="163" t="s">
        <v>20</v>
      </c>
      <c r="S32" s="163" t="s">
        <v>20</v>
      </c>
      <c r="T32" s="164" t="s">
        <v>20</v>
      </c>
    </row>
    <row r="33" spans="1:23" s="9" customFormat="1" ht="10.5" customHeight="1" x14ac:dyDescent="0.15">
      <c r="A33" s="129">
        <v>30</v>
      </c>
      <c r="B33" s="127" t="s">
        <v>10</v>
      </c>
      <c r="C33" s="92" t="s">
        <v>20</v>
      </c>
      <c r="D33" s="92" t="s">
        <v>20</v>
      </c>
      <c r="E33" s="92" t="s">
        <v>20</v>
      </c>
      <c r="F33" s="93" t="s">
        <v>20</v>
      </c>
      <c r="G33" s="156"/>
      <c r="H33" s="129"/>
      <c r="I33" s="131"/>
      <c r="J33" s="132"/>
      <c r="K33" s="132"/>
      <c r="L33" s="132"/>
      <c r="M33" s="133"/>
      <c r="N33" s="156"/>
      <c r="O33" s="129">
        <v>30</v>
      </c>
      <c r="P33" s="127" t="s">
        <v>6</v>
      </c>
      <c r="Q33" s="92" t="s">
        <v>20</v>
      </c>
      <c r="R33" s="128">
        <v>1438</v>
      </c>
      <c r="S33" s="128">
        <v>1620</v>
      </c>
      <c r="T33" s="130">
        <v>331</v>
      </c>
    </row>
    <row r="34" spans="1:23" s="9" customFormat="1" ht="10.5" customHeight="1" thickBot="1" x14ac:dyDescent="0.2">
      <c r="A34" s="194">
        <v>31</v>
      </c>
      <c r="B34" s="195" t="s">
        <v>11</v>
      </c>
      <c r="C34" s="196" t="s">
        <v>20</v>
      </c>
      <c r="D34" s="196">
        <v>1445</v>
      </c>
      <c r="E34" s="196">
        <v>1708</v>
      </c>
      <c r="F34" s="197" t="s">
        <v>20</v>
      </c>
      <c r="G34" s="156"/>
      <c r="H34" s="134"/>
      <c r="I34" s="90"/>
      <c r="J34" s="136"/>
      <c r="K34" s="136"/>
      <c r="L34" s="136"/>
      <c r="M34" s="137"/>
      <c r="N34" s="156"/>
      <c r="O34" s="134">
        <v>31</v>
      </c>
      <c r="P34" s="135" t="s">
        <v>30</v>
      </c>
      <c r="Q34" s="138">
        <v>357</v>
      </c>
      <c r="R34" s="138">
        <v>1456</v>
      </c>
      <c r="S34" s="138">
        <v>1719</v>
      </c>
      <c r="T34" s="139">
        <v>317</v>
      </c>
      <c r="W34" s="10"/>
    </row>
    <row r="35" spans="1:23" s="9" customFormat="1" ht="20.25" customHeight="1" thickBot="1" x14ac:dyDescent="0.2">
      <c r="A35" s="226" t="s">
        <v>31</v>
      </c>
      <c r="B35" s="226"/>
      <c r="C35" s="226"/>
      <c r="D35" s="226"/>
      <c r="E35" s="226"/>
      <c r="F35" s="226"/>
      <c r="G35" s="155"/>
      <c r="H35" s="226" t="s">
        <v>32</v>
      </c>
      <c r="I35" s="226"/>
      <c r="J35" s="226"/>
      <c r="K35" s="226"/>
      <c r="L35" s="226"/>
      <c r="M35" s="226"/>
      <c r="N35" s="155"/>
      <c r="O35" s="226" t="s">
        <v>33</v>
      </c>
      <c r="P35" s="226"/>
      <c r="Q35" s="226"/>
      <c r="R35" s="226"/>
      <c r="S35" s="226"/>
      <c r="T35" s="226"/>
    </row>
    <row r="36" spans="1:23" ht="11.1" customHeight="1" x14ac:dyDescent="0.15">
      <c r="A36" s="222" t="s">
        <v>0</v>
      </c>
      <c r="B36" s="223"/>
      <c r="C36" s="227" t="s">
        <v>1</v>
      </c>
      <c r="D36" s="227"/>
      <c r="E36" s="227" t="s">
        <v>2</v>
      </c>
      <c r="F36" s="228"/>
      <c r="G36" s="156"/>
      <c r="H36" s="222" t="s">
        <v>0</v>
      </c>
      <c r="I36" s="223"/>
      <c r="J36" s="227" t="s">
        <v>1</v>
      </c>
      <c r="K36" s="227"/>
      <c r="L36" s="227" t="s">
        <v>2</v>
      </c>
      <c r="M36" s="228"/>
      <c r="N36" s="156"/>
      <c r="O36" s="222" t="s">
        <v>0</v>
      </c>
      <c r="P36" s="223"/>
      <c r="Q36" s="227" t="s">
        <v>1</v>
      </c>
      <c r="R36" s="227"/>
      <c r="S36" s="227" t="s">
        <v>2</v>
      </c>
      <c r="T36" s="228"/>
    </row>
    <row r="37" spans="1:23" ht="21.75" customHeight="1" thickBot="1" x14ac:dyDescent="0.2">
      <c r="A37" s="224"/>
      <c r="B37" s="225"/>
      <c r="C37" s="90" t="s">
        <v>3</v>
      </c>
      <c r="D37" s="90" t="s">
        <v>4</v>
      </c>
      <c r="E37" s="90" t="s">
        <v>3</v>
      </c>
      <c r="F37" s="91" t="s">
        <v>5</v>
      </c>
      <c r="G37" s="156"/>
      <c r="H37" s="224"/>
      <c r="I37" s="225"/>
      <c r="J37" s="90" t="s">
        <v>3</v>
      </c>
      <c r="K37" s="90" t="s">
        <v>4</v>
      </c>
      <c r="L37" s="90" t="s">
        <v>3</v>
      </c>
      <c r="M37" s="91" t="s">
        <v>5</v>
      </c>
      <c r="N37" s="156"/>
      <c r="O37" s="224"/>
      <c r="P37" s="225"/>
      <c r="Q37" s="90" t="s">
        <v>3</v>
      </c>
      <c r="R37" s="90" t="s">
        <v>4</v>
      </c>
      <c r="S37" s="90" t="s">
        <v>3</v>
      </c>
      <c r="T37" s="91" t="s">
        <v>5</v>
      </c>
    </row>
    <row r="38" spans="1:23" s="9" customFormat="1" ht="11.25" customHeight="1" x14ac:dyDescent="0.15">
      <c r="A38" s="126">
        <v>1</v>
      </c>
      <c r="B38" s="127" t="s">
        <v>19</v>
      </c>
      <c r="C38" s="96">
        <v>528</v>
      </c>
      <c r="D38" s="96">
        <v>1525</v>
      </c>
      <c r="E38" s="96">
        <v>1757</v>
      </c>
      <c r="F38" s="140">
        <v>337</v>
      </c>
      <c r="G38" s="156"/>
      <c r="H38" s="126">
        <v>1</v>
      </c>
      <c r="I38" s="127" t="s">
        <v>23</v>
      </c>
      <c r="J38" s="141">
        <v>551</v>
      </c>
      <c r="K38" s="141">
        <v>1552</v>
      </c>
      <c r="L38" s="141">
        <v>1722</v>
      </c>
      <c r="M38" s="142">
        <v>336</v>
      </c>
      <c r="N38" s="156"/>
      <c r="O38" s="126">
        <v>1</v>
      </c>
      <c r="P38" s="127" t="s">
        <v>29</v>
      </c>
      <c r="Q38" s="96">
        <v>636</v>
      </c>
      <c r="R38" s="96" t="s">
        <v>21</v>
      </c>
      <c r="S38" s="96" t="s">
        <v>21</v>
      </c>
      <c r="T38" s="140">
        <v>419</v>
      </c>
    </row>
    <row r="39" spans="1:23" s="9" customFormat="1" ht="11.25" customHeight="1" x14ac:dyDescent="0.15">
      <c r="A39" s="129">
        <v>2</v>
      </c>
      <c r="B39" s="100" t="s">
        <v>22</v>
      </c>
      <c r="C39" s="103">
        <v>618</v>
      </c>
      <c r="D39" s="103">
        <v>1557</v>
      </c>
      <c r="E39" s="103">
        <v>1826</v>
      </c>
      <c r="F39" s="144">
        <v>404</v>
      </c>
      <c r="G39" s="156"/>
      <c r="H39" s="188">
        <v>2</v>
      </c>
      <c r="I39" s="206" t="s">
        <v>24</v>
      </c>
      <c r="J39" s="207">
        <v>628</v>
      </c>
      <c r="K39" s="207">
        <v>1629</v>
      </c>
      <c r="L39" s="207">
        <v>1747</v>
      </c>
      <c r="M39" s="199">
        <v>407</v>
      </c>
      <c r="N39" s="156"/>
      <c r="O39" s="129">
        <v>2</v>
      </c>
      <c r="P39" s="127" t="s">
        <v>30</v>
      </c>
      <c r="Q39" s="143">
        <v>709</v>
      </c>
      <c r="R39" s="92" t="s">
        <v>20</v>
      </c>
      <c r="S39" s="92" t="s">
        <v>20</v>
      </c>
      <c r="T39" s="140">
        <v>452</v>
      </c>
    </row>
    <row r="40" spans="1:23" s="9" customFormat="1" ht="11.25" customHeight="1" x14ac:dyDescent="0.15">
      <c r="A40" s="129">
        <v>3</v>
      </c>
      <c r="B40" s="100" t="s">
        <v>23</v>
      </c>
      <c r="C40" s="103">
        <v>656</v>
      </c>
      <c r="D40" s="103">
        <v>1631</v>
      </c>
      <c r="E40" s="103">
        <v>1849</v>
      </c>
      <c r="F40" s="144">
        <v>434</v>
      </c>
      <c r="G40" s="156"/>
      <c r="H40" s="176">
        <v>3</v>
      </c>
      <c r="I40" s="166" t="s">
        <v>28</v>
      </c>
      <c r="J40" s="168">
        <v>700</v>
      </c>
      <c r="K40" s="168">
        <v>1713</v>
      </c>
      <c r="L40" s="168">
        <v>1803</v>
      </c>
      <c r="M40" s="179">
        <v>439</v>
      </c>
      <c r="N40" s="156"/>
      <c r="O40" s="129">
        <v>3</v>
      </c>
      <c r="P40" s="127" t="s">
        <v>19</v>
      </c>
      <c r="Q40" s="143">
        <v>740</v>
      </c>
      <c r="R40" s="92" t="s">
        <v>20</v>
      </c>
      <c r="S40" s="92" t="s">
        <v>20</v>
      </c>
      <c r="T40" s="140">
        <v>527</v>
      </c>
    </row>
    <row r="41" spans="1:23" s="9" customFormat="1" ht="11.25" customHeight="1" x14ac:dyDescent="0.15">
      <c r="A41" s="188">
        <v>4</v>
      </c>
      <c r="B41" s="206" t="s">
        <v>24</v>
      </c>
      <c r="C41" s="207">
        <v>726</v>
      </c>
      <c r="D41" s="207">
        <v>1708</v>
      </c>
      <c r="E41" s="207">
        <v>1906</v>
      </c>
      <c r="F41" s="199">
        <v>507</v>
      </c>
      <c r="G41" s="156"/>
      <c r="H41" s="129">
        <v>4</v>
      </c>
      <c r="I41" s="100" t="s">
        <v>29</v>
      </c>
      <c r="J41" s="245">
        <v>726</v>
      </c>
      <c r="K41" s="103" t="s">
        <v>20</v>
      </c>
      <c r="L41" s="103" t="s">
        <v>20</v>
      </c>
      <c r="M41" s="133">
        <v>515</v>
      </c>
      <c r="N41" s="156"/>
      <c r="O41" s="129">
        <v>4</v>
      </c>
      <c r="P41" s="127" t="s">
        <v>9</v>
      </c>
      <c r="Q41" s="143">
        <v>809</v>
      </c>
      <c r="R41" s="92" t="s">
        <v>20</v>
      </c>
      <c r="S41" s="92" t="s">
        <v>20</v>
      </c>
      <c r="T41" s="140">
        <v>606</v>
      </c>
    </row>
    <row r="42" spans="1:23" s="9" customFormat="1" ht="11.25" customHeight="1" x14ac:dyDescent="0.15">
      <c r="A42" s="176">
        <v>5</v>
      </c>
      <c r="B42" s="166" t="s">
        <v>12</v>
      </c>
      <c r="C42" s="168">
        <v>751</v>
      </c>
      <c r="D42" s="168">
        <v>1752</v>
      </c>
      <c r="E42" s="168">
        <v>1914</v>
      </c>
      <c r="F42" s="179">
        <v>543</v>
      </c>
      <c r="G42" s="156"/>
      <c r="H42" s="129">
        <v>5</v>
      </c>
      <c r="I42" s="100" t="s">
        <v>30</v>
      </c>
      <c r="J42" s="245">
        <v>749</v>
      </c>
      <c r="K42" s="103" t="s">
        <v>20</v>
      </c>
      <c r="L42" s="103" t="s">
        <v>20</v>
      </c>
      <c r="M42" s="133">
        <v>555</v>
      </c>
      <c r="N42" s="156"/>
      <c r="O42" s="129">
        <v>5</v>
      </c>
      <c r="P42" s="127" t="s">
        <v>10</v>
      </c>
      <c r="Q42" s="143">
        <v>835</v>
      </c>
      <c r="R42" s="92" t="s">
        <v>20</v>
      </c>
      <c r="S42" s="92" t="s">
        <v>20</v>
      </c>
      <c r="T42" s="144">
        <v>651</v>
      </c>
    </row>
    <row r="43" spans="1:23" s="9" customFormat="1" ht="11.25" customHeight="1" x14ac:dyDescent="0.15">
      <c r="A43" s="129">
        <v>6</v>
      </c>
      <c r="B43" s="100" t="s">
        <v>6</v>
      </c>
      <c r="C43" s="103">
        <v>810</v>
      </c>
      <c r="D43" s="103" t="s">
        <v>20</v>
      </c>
      <c r="E43" s="103" t="s">
        <v>20</v>
      </c>
      <c r="F43" s="144">
        <v>627</v>
      </c>
      <c r="G43" s="156"/>
      <c r="H43" s="129">
        <v>6</v>
      </c>
      <c r="I43" s="100" t="s">
        <v>8</v>
      </c>
      <c r="J43" s="245">
        <v>808</v>
      </c>
      <c r="K43" s="103" t="s">
        <v>20</v>
      </c>
      <c r="L43" s="103" t="s">
        <v>20</v>
      </c>
      <c r="M43" s="133">
        <v>646</v>
      </c>
      <c r="N43" s="156"/>
      <c r="O43" s="188">
        <v>6</v>
      </c>
      <c r="P43" s="189" t="s">
        <v>11</v>
      </c>
      <c r="Q43" s="198">
        <v>900</v>
      </c>
      <c r="R43" s="190" t="s">
        <v>20</v>
      </c>
      <c r="S43" s="190" t="s">
        <v>20</v>
      </c>
      <c r="T43" s="199">
        <v>751</v>
      </c>
    </row>
    <row r="44" spans="1:23" s="9" customFormat="1" ht="11.25" customHeight="1" x14ac:dyDescent="0.15">
      <c r="A44" s="129">
        <v>7</v>
      </c>
      <c r="B44" s="127" t="s">
        <v>7</v>
      </c>
      <c r="C44" s="143">
        <v>820</v>
      </c>
      <c r="D44" s="92" t="s">
        <v>20</v>
      </c>
      <c r="E44" s="92" t="s">
        <v>20</v>
      </c>
      <c r="F44" s="93" t="s">
        <v>20</v>
      </c>
      <c r="G44" s="156"/>
      <c r="H44" s="129">
        <v>7</v>
      </c>
      <c r="I44" s="100" t="s">
        <v>9</v>
      </c>
      <c r="J44" s="245">
        <v>819</v>
      </c>
      <c r="K44" s="103" t="s">
        <v>20</v>
      </c>
      <c r="L44" s="103" t="s">
        <v>20</v>
      </c>
      <c r="M44" s="93" t="s">
        <v>20</v>
      </c>
      <c r="N44" s="156"/>
      <c r="O44" s="176">
        <v>7</v>
      </c>
      <c r="P44" s="177" t="s">
        <v>12</v>
      </c>
      <c r="Q44" s="178">
        <v>918</v>
      </c>
      <c r="R44" s="163" t="s">
        <v>20</v>
      </c>
      <c r="S44" s="163" t="s">
        <v>20</v>
      </c>
      <c r="T44" s="164" t="s">
        <v>20</v>
      </c>
    </row>
    <row r="45" spans="1:23" s="9" customFormat="1" ht="11.25" customHeight="1" x14ac:dyDescent="0.15">
      <c r="A45" s="129">
        <v>8</v>
      </c>
      <c r="B45" s="127" t="s">
        <v>8</v>
      </c>
      <c r="C45" s="92" t="s">
        <v>20</v>
      </c>
      <c r="D45" s="92" t="s">
        <v>20</v>
      </c>
      <c r="E45" s="92" t="s">
        <v>20</v>
      </c>
      <c r="F45" s="93" t="s">
        <v>20</v>
      </c>
      <c r="G45" s="156"/>
      <c r="H45" s="129">
        <v>8</v>
      </c>
      <c r="I45" s="100" t="s">
        <v>10</v>
      </c>
      <c r="J45" s="103" t="s">
        <v>20</v>
      </c>
      <c r="K45" s="103" t="s">
        <v>20</v>
      </c>
      <c r="L45" s="103" t="s">
        <v>20</v>
      </c>
      <c r="M45" s="93" t="s">
        <v>20</v>
      </c>
      <c r="N45" s="156"/>
      <c r="O45" s="129">
        <v>8</v>
      </c>
      <c r="P45" s="127" t="s">
        <v>6</v>
      </c>
      <c r="Q45" s="92" t="s">
        <v>20</v>
      </c>
      <c r="R45" s="92" t="s">
        <v>20</v>
      </c>
      <c r="S45" s="92" t="s">
        <v>20</v>
      </c>
      <c r="T45" s="93" t="s">
        <v>20</v>
      </c>
    </row>
    <row r="46" spans="1:23" s="9" customFormat="1" ht="11.25" customHeight="1" x14ac:dyDescent="0.15">
      <c r="A46" s="129">
        <v>9</v>
      </c>
      <c r="B46" s="127" t="s">
        <v>9</v>
      </c>
      <c r="C46" s="92" t="s">
        <v>20</v>
      </c>
      <c r="D46" s="92" t="s">
        <v>20</v>
      </c>
      <c r="E46" s="92" t="s">
        <v>20</v>
      </c>
      <c r="F46" s="93" t="s">
        <v>20</v>
      </c>
      <c r="G46" s="156"/>
      <c r="H46" s="188">
        <v>9</v>
      </c>
      <c r="I46" s="189" t="s">
        <v>11</v>
      </c>
      <c r="J46" s="190" t="s">
        <v>20</v>
      </c>
      <c r="K46" s="190" t="s">
        <v>20</v>
      </c>
      <c r="L46" s="190" t="s">
        <v>20</v>
      </c>
      <c r="M46" s="191" t="s">
        <v>20</v>
      </c>
      <c r="N46" s="156"/>
      <c r="O46" s="129">
        <v>9</v>
      </c>
      <c r="P46" s="127" t="s">
        <v>7</v>
      </c>
      <c r="Q46" s="92" t="s">
        <v>20</v>
      </c>
      <c r="R46" s="92" t="s">
        <v>20</v>
      </c>
      <c r="S46" s="92" t="s">
        <v>20</v>
      </c>
      <c r="T46" s="93" t="s">
        <v>20</v>
      </c>
    </row>
    <row r="47" spans="1:23" s="9" customFormat="1" ht="11.25" customHeight="1" x14ac:dyDescent="0.15">
      <c r="A47" s="129">
        <v>10</v>
      </c>
      <c r="B47" s="127" t="s">
        <v>10</v>
      </c>
      <c r="C47" s="92" t="s">
        <v>20</v>
      </c>
      <c r="D47" s="92" t="s">
        <v>20</v>
      </c>
      <c r="E47" s="92" t="s">
        <v>20</v>
      </c>
      <c r="F47" s="93" t="s">
        <v>20</v>
      </c>
      <c r="G47" s="156"/>
      <c r="H47" s="176">
        <v>10</v>
      </c>
      <c r="I47" s="177" t="s">
        <v>12</v>
      </c>
      <c r="J47" s="163" t="s">
        <v>20</v>
      </c>
      <c r="K47" s="163" t="s">
        <v>20</v>
      </c>
      <c r="L47" s="163" t="s">
        <v>20</v>
      </c>
      <c r="M47" s="164" t="s">
        <v>20</v>
      </c>
      <c r="N47" s="156"/>
      <c r="O47" s="129">
        <v>10</v>
      </c>
      <c r="P47" s="127" t="s">
        <v>8</v>
      </c>
      <c r="Q47" s="92" t="s">
        <v>20</v>
      </c>
      <c r="R47" s="92" t="s">
        <v>20</v>
      </c>
      <c r="S47" s="92" t="s">
        <v>20</v>
      </c>
      <c r="T47" s="93" t="s">
        <v>20</v>
      </c>
    </row>
    <row r="48" spans="1:23" s="9" customFormat="1" ht="11.25" customHeight="1" x14ac:dyDescent="0.15">
      <c r="A48" s="188">
        <v>11</v>
      </c>
      <c r="B48" s="189" t="s">
        <v>11</v>
      </c>
      <c r="C48" s="190" t="s">
        <v>20</v>
      </c>
      <c r="D48" s="190" t="s">
        <v>20</v>
      </c>
      <c r="E48" s="190" t="s">
        <v>20</v>
      </c>
      <c r="F48" s="191" t="s">
        <v>20</v>
      </c>
      <c r="G48" s="156"/>
      <c r="H48" s="129">
        <v>11</v>
      </c>
      <c r="I48" s="127" t="s">
        <v>6</v>
      </c>
      <c r="J48" s="92" t="s">
        <v>20</v>
      </c>
      <c r="K48" s="92" t="s">
        <v>20</v>
      </c>
      <c r="L48" s="92" t="s">
        <v>20</v>
      </c>
      <c r="M48" s="93" t="s">
        <v>20</v>
      </c>
      <c r="N48" s="156"/>
      <c r="O48" s="129">
        <v>11</v>
      </c>
      <c r="P48" s="127" t="s">
        <v>9</v>
      </c>
      <c r="Q48" s="92" t="s">
        <v>20</v>
      </c>
      <c r="R48" s="92" t="s">
        <v>20</v>
      </c>
      <c r="S48" s="92" t="s">
        <v>20</v>
      </c>
      <c r="T48" s="93">
        <v>111</v>
      </c>
    </row>
    <row r="49" spans="1:20" s="9" customFormat="1" ht="11.25" customHeight="1" x14ac:dyDescent="0.15">
      <c r="A49" s="176">
        <v>12</v>
      </c>
      <c r="B49" s="177" t="s">
        <v>12</v>
      </c>
      <c r="C49" s="163" t="s">
        <v>20</v>
      </c>
      <c r="D49" s="163" t="s">
        <v>20</v>
      </c>
      <c r="E49" s="163" t="s">
        <v>20</v>
      </c>
      <c r="F49" s="164" t="s">
        <v>20</v>
      </c>
      <c r="G49" s="156"/>
      <c r="H49" s="129">
        <v>12</v>
      </c>
      <c r="I49" s="127" t="s">
        <v>7</v>
      </c>
      <c r="J49" s="92" t="s">
        <v>20</v>
      </c>
      <c r="K49" s="92" t="s">
        <v>20</v>
      </c>
      <c r="L49" s="92" t="s">
        <v>20</v>
      </c>
      <c r="M49" s="93" t="s">
        <v>20</v>
      </c>
      <c r="N49" s="156"/>
      <c r="O49" s="129">
        <v>12</v>
      </c>
      <c r="P49" s="127" t="s">
        <v>10</v>
      </c>
      <c r="Q49" s="143">
        <v>206</v>
      </c>
      <c r="R49" s="92" t="s">
        <v>20</v>
      </c>
      <c r="S49" s="92" t="s">
        <v>20</v>
      </c>
      <c r="T49" s="144">
        <v>120</v>
      </c>
    </row>
    <row r="50" spans="1:20" s="9" customFormat="1" ht="11.25" customHeight="1" x14ac:dyDescent="0.15">
      <c r="A50" s="129">
        <v>13</v>
      </c>
      <c r="B50" s="127" t="s">
        <v>6</v>
      </c>
      <c r="C50" s="92" t="s">
        <v>20</v>
      </c>
      <c r="D50" s="92" t="s">
        <v>20</v>
      </c>
      <c r="E50" s="92" t="s">
        <v>20</v>
      </c>
      <c r="F50" s="93" t="s">
        <v>20</v>
      </c>
      <c r="G50" s="156"/>
      <c r="H50" s="129">
        <v>13</v>
      </c>
      <c r="I50" s="127" t="s">
        <v>8</v>
      </c>
      <c r="J50" s="92" t="s">
        <v>20</v>
      </c>
      <c r="K50" s="92" t="s">
        <v>20</v>
      </c>
      <c r="L50" s="92" t="s">
        <v>20</v>
      </c>
      <c r="M50" s="93" t="s">
        <v>20</v>
      </c>
      <c r="N50" s="156"/>
      <c r="O50" s="188">
        <v>13</v>
      </c>
      <c r="P50" s="189" t="s">
        <v>11</v>
      </c>
      <c r="Q50" s="198">
        <v>358</v>
      </c>
      <c r="R50" s="190" t="s">
        <v>20</v>
      </c>
      <c r="S50" s="190" t="s">
        <v>20</v>
      </c>
      <c r="T50" s="199">
        <v>156</v>
      </c>
    </row>
    <row r="51" spans="1:20" s="9" customFormat="1" ht="11.25" customHeight="1" x14ac:dyDescent="0.15">
      <c r="A51" s="129">
        <v>14</v>
      </c>
      <c r="B51" s="127" t="s">
        <v>7</v>
      </c>
      <c r="C51" s="92" t="s">
        <v>20</v>
      </c>
      <c r="D51" s="92" t="s">
        <v>20</v>
      </c>
      <c r="E51" s="92" t="s">
        <v>20</v>
      </c>
      <c r="F51" s="93" t="s">
        <v>20</v>
      </c>
      <c r="G51" s="156"/>
      <c r="H51" s="129">
        <v>14</v>
      </c>
      <c r="I51" s="127" t="s">
        <v>9</v>
      </c>
      <c r="J51" s="92" t="s">
        <v>20</v>
      </c>
      <c r="K51" s="92" t="s">
        <v>20</v>
      </c>
      <c r="L51" s="92" t="s">
        <v>20</v>
      </c>
      <c r="M51" s="93">
        <v>157</v>
      </c>
      <c r="N51" s="156"/>
      <c r="O51" s="176">
        <v>14</v>
      </c>
      <c r="P51" s="177" t="s">
        <v>12</v>
      </c>
      <c r="Q51" s="178">
        <v>514</v>
      </c>
      <c r="R51" s="178">
        <v>1523</v>
      </c>
      <c r="S51" s="178">
        <v>1610</v>
      </c>
      <c r="T51" s="179">
        <v>239</v>
      </c>
    </row>
    <row r="52" spans="1:20" s="9" customFormat="1" ht="11.25" customHeight="1" x14ac:dyDescent="0.15">
      <c r="A52" s="129">
        <v>15</v>
      </c>
      <c r="B52" s="127" t="s">
        <v>8</v>
      </c>
      <c r="C52" s="92" t="s">
        <v>20</v>
      </c>
      <c r="D52" s="143">
        <v>1444</v>
      </c>
      <c r="E52" s="143">
        <v>1603</v>
      </c>
      <c r="F52" s="144">
        <v>247</v>
      </c>
      <c r="G52" s="156"/>
      <c r="H52" s="129">
        <v>15</v>
      </c>
      <c r="I52" s="127" t="s">
        <v>10</v>
      </c>
      <c r="J52" s="92">
        <v>425</v>
      </c>
      <c r="K52" s="132">
        <v>1438</v>
      </c>
      <c r="L52" s="132">
        <v>1610</v>
      </c>
      <c r="M52" s="133">
        <v>221</v>
      </c>
      <c r="N52" s="156"/>
      <c r="O52" s="129">
        <v>15</v>
      </c>
      <c r="P52" s="127" t="s">
        <v>6</v>
      </c>
      <c r="Q52" s="143">
        <v>619</v>
      </c>
      <c r="R52" s="143">
        <v>1600</v>
      </c>
      <c r="S52" s="143">
        <v>1718</v>
      </c>
      <c r="T52" s="144">
        <v>326</v>
      </c>
    </row>
    <row r="53" spans="1:20" s="9" customFormat="1" ht="11.25" customHeight="1" x14ac:dyDescent="0.15">
      <c r="A53" s="129">
        <v>16</v>
      </c>
      <c r="B53" s="127" t="s">
        <v>9</v>
      </c>
      <c r="C53" s="143">
        <v>447</v>
      </c>
      <c r="D53" s="143">
        <v>1455</v>
      </c>
      <c r="E53" s="143">
        <v>1709</v>
      </c>
      <c r="F53" s="144">
        <v>300</v>
      </c>
      <c r="G53" s="156"/>
      <c r="H53" s="188">
        <v>16</v>
      </c>
      <c r="I53" s="189" t="s">
        <v>11</v>
      </c>
      <c r="J53" s="198">
        <v>534</v>
      </c>
      <c r="K53" s="198">
        <v>1512</v>
      </c>
      <c r="L53" s="198">
        <v>1706</v>
      </c>
      <c r="M53" s="199">
        <v>257</v>
      </c>
      <c r="N53" s="156"/>
      <c r="O53" s="129">
        <v>16</v>
      </c>
      <c r="P53" s="127" t="s">
        <v>7</v>
      </c>
      <c r="Q53" s="143">
        <v>717</v>
      </c>
      <c r="R53" s="143">
        <v>1645</v>
      </c>
      <c r="S53" s="143">
        <v>1815</v>
      </c>
      <c r="T53" s="144">
        <v>415</v>
      </c>
    </row>
    <row r="54" spans="1:20" s="9" customFormat="1" ht="11.25" customHeight="1" x14ac:dyDescent="0.15">
      <c r="A54" s="129">
        <v>17</v>
      </c>
      <c r="B54" s="127" t="s">
        <v>10</v>
      </c>
      <c r="C54" s="143">
        <v>553</v>
      </c>
      <c r="D54" s="143">
        <v>1525</v>
      </c>
      <c r="E54" s="143">
        <v>1755</v>
      </c>
      <c r="F54" s="144">
        <v>328</v>
      </c>
      <c r="G54" s="156"/>
      <c r="H54" s="176">
        <v>17</v>
      </c>
      <c r="I54" s="177" t="s">
        <v>12</v>
      </c>
      <c r="J54" s="178">
        <v>630</v>
      </c>
      <c r="K54" s="178">
        <v>1556</v>
      </c>
      <c r="L54" s="178">
        <v>1751</v>
      </c>
      <c r="M54" s="179">
        <v>339</v>
      </c>
      <c r="N54" s="156"/>
      <c r="O54" s="129">
        <v>17</v>
      </c>
      <c r="P54" s="127" t="s">
        <v>8</v>
      </c>
      <c r="Q54" s="143">
        <v>810</v>
      </c>
      <c r="R54" s="143">
        <v>1732</v>
      </c>
      <c r="S54" s="143">
        <v>1906</v>
      </c>
      <c r="T54" s="144">
        <v>505</v>
      </c>
    </row>
    <row r="55" spans="1:20" s="9" customFormat="1" ht="11.25" customHeight="1" x14ac:dyDescent="0.15">
      <c r="A55" s="188">
        <v>18</v>
      </c>
      <c r="B55" s="189" t="s">
        <v>11</v>
      </c>
      <c r="C55" s="198">
        <v>645</v>
      </c>
      <c r="D55" s="198">
        <v>1603</v>
      </c>
      <c r="E55" s="198">
        <v>1833</v>
      </c>
      <c r="F55" s="199">
        <v>403</v>
      </c>
      <c r="G55" s="156"/>
      <c r="H55" s="129">
        <v>18</v>
      </c>
      <c r="I55" s="127" t="s">
        <v>6</v>
      </c>
      <c r="J55" s="132">
        <v>722</v>
      </c>
      <c r="K55" s="132">
        <v>1648</v>
      </c>
      <c r="L55" s="132">
        <v>1830</v>
      </c>
      <c r="M55" s="133">
        <v>426</v>
      </c>
      <c r="N55" s="156"/>
      <c r="O55" s="129">
        <v>18</v>
      </c>
      <c r="P55" s="127" t="s">
        <v>9</v>
      </c>
      <c r="Q55" s="143">
        <v>856</v>
      </c>
      <c r="R55" s="143">
        <v>1822</v>
      </c>
      <c r="S55" s="143">
        <v>1951</v>
      </c>
      <c r="T55" s="144">
        <v>555</v>
      </c>
    </row>
    <row r="56" spans="1:20" s="9" customFormat="1" ht="11.25" customHeight="1" x14ac:dyDescent="0.15">
      <c r="A56" s="176">
        <v>19</v>
      </c>
      <c r="B56" s="177" t="s">
        <v>12</v>
      </c>
      <c r="C56" s="178">
        <v>731</v>
      </c>
      <c r="D56" s="178">
        <v>1648</v>
      </c>
      <c r="E56" s="178">
        <v>1904</v>
      </c>
      <c r="F56" s="179">
        <v>444</v>
      </c>
      <c r="G56" s="156"/>
      <c r="H56" s="129">
        <v>19</v>
      </c>
      <c r="I56" s="127" t="s">
        <v>7</v>
      </c>
      <c r="J56" s="132">
        <v>809</v>
      </c>
      <c r="K56" s="132">
        <v>1749</v>
      </c>
      <c r="L56" s="132">
        <v>1900</v>
      </c>
      <c r="M56" s="133">
        <v>518</v>
      </c>
      <c r="N56" s="156"/>
      <c r="O56" s="129">
        <v>19</v>
      </c>
      <c r="P56" s="127" t="s">
        <v>10</v>
      </c>
      <c r="Q56" s="143">
        <v>935</v>
      </c>
      <c r="R56" s="143">
        <v>1917</v>
      </c>
      <c r="S56" s="143">
        <v>2028</v>
      </c>
      <c r="T56" s="144">
        <v>649</v>
      </c>
    </row>
    <row r="57" spans="1:20" s="9" customFormat="1" ht="11.25" customHeight="1" x14ac:dyDescent="0.15">
      <c r="A57" s="129">
        <v>20</v>
      </c>
      <c r="B57" s="127" t="s">
        <v>6</v>
      </c>
      <c r="C57" s="143">
        <v>813</v>
      </c>
      <c r="D57" s="143">
        <v>1743</v>
      </c>
      <c r="E57" s="143">
        <v>1927</v>
      </c>
      <c r="F57" s="144">
        <v>532</v>
      </c>
      <c r="G57" s="156"/>
      <c r="H57" s="129">
        <v>20</v>
      </c>
      <c r="I57" s="127" t="s">
        <v>8</v>
      </c>
      <c r="J57" s="132">
        <v>852</v>
      </c>
      <c r="K57" s="92" t="s">
        <v>20</v>
      </c>
      <c r="L57" s="92" t="s">
        <v>20</v>
      </c>
      <c r="M57" s="133">
        <v>616</v>
      </c>
      <c r="N57" s="156"/>
      <c r="O57" s="188">
        <v>20</v>
      </c>
      <c r="P57" s="189" t="s">
        <v>11</v>
      </c>
      <c r="Q57" s="198">
        <v>1006</v>
      </c>
      <c r="R57" s="190" t="s">
        <v>20</v>
      </c>
      <c r="S57" s="190" t="s">
        <v>20</v>
      </c>
      <c r="T57" s="199">
        <v>750</v>
      </c>
    </row>
    <row r="58" spans="1:20" s="9" customFormat="1" ht="11.25" customHeight="1" x14ac:dyDescent="0.15">
      <c r="A58" s="129">
        <v>21</v>
      </c>
      <c r="B58" s="127" t="s">
        <v>7</v>
      </c>
      <c r="C58" s="143">
        <v>850</v>
      </c>
      <c r="D58" s="92" t="s">
        <v>20</v>
      </c>
      <c r="E58" s="92" t="s">
        <v>20</v>
      </c>
      <c r="F58" s="144">
        <v>631</v>
      </c>
      <c r="G58" s="156"/>
      <c r="H58" s="129">
        <v>21</v>
      </c>
      <c r="I58" s="127" t="s">
        <v>9</v>
      </c>
      <c r="J58" s="132">
        <v>931</v>
      </c>
      <c r="K58" s="92" t="s">
        <v>20</v>
      </c>
      <c r="L58" s="92" t="s">
        <v>20</v>
      </c>
      <c r="M58" s="133">
        <v>725</v>
      </c>
      <c r="N58" s="156"/>
      <c r="O58" s="176">
        <v>21</v>
      </c>
      <c r="P58" s="177" t="s">
        <v>12</v>
      </c>
      <c r="Q58" s="178">
        <v>1028</v>
      </c>
      <c r="R58" s="163" t="s">
        <v>20</v>
      </c>
      <c r="S58" s="163" t="s">
        <v>20</v>
      </c>
      <c r="T58" s="179">
        <v>916</v>
      </c>
    </row>
    <row r="59" spans="1:20" s="9" customFormat="1" ht="11.25" customHeight="1" x14ac:dyDescent="0.15">
      <c r="A59" s="129">
        <v>22</v>
      </c>
      <c r="B59" s="127" t="s">
        <v>8</v>
      </c>
      <c r="C59" s="143">
        <v>921</v>
      </c>
      <c r="D59" s="92" t="s">
        <v>20</v>
      </c>
      <c r="E59" s="92" t="s">
        <v>20</v>
      </c>
      <c r="F59" s="144">
        <v>755</v>
      </c>
      <c r="G59" s="156"/>
      <c r="H59" s="129">
        <v>22</v>
      </c>
      <c r="I59" s="127" t="s">
        <v>10</v>
      </c>
      <c r="J59" s="132">
        <v>1002</v>
      </c>
      <c r="K59" s="92" t="s">
        <v>20</v>
      </c>
      <c r="L59" s="92" t="s">
        <v>20</v>
      </c>
      <c r="M59" s="133">
        <v>857</v>
      </c>
      <c r="N59" s="156"/>
      <c r="O59" s="129">
        <v>22</v>
      </c>
      <c r="P59" s="127" t="s">
        <v>6</v>
      </c>
      <c r="Q59" s="143">
        <v>1030</v>
      </c>
      <c r="R59" s="92" t="s">
        <v>20</v>
      </c>
      <c r="S59" s="92" t="s">
        <v>20</v>
      </c>
      <c r="T59" s="93" t="s">
        <v>20</v>
      </c>
    </row>
    <row r="60" spans="1:20" s="9" customFormat="1" ht="11.25" customHeight="1" x14ac:dyDescent="0.15">
      <c r="A60" s="129">
        <v>23</v>
      </c>
      <c r="B60" s="127" t="s">
        <v>9</v>
      </c>
      <c r="C60" s="143">
        <v>939</v>
      </c>
      <c r="D60" s="92" t="s">
        <v>20</v>
      </c>
      <c r="E60" s="92" t="s">
        <v>20</v>
      </c>
      <c r="F60" s="93" t="s">
        <v>20</v>
      </c>
      <c r="G60" s="156"/>
      <c r="H60" s="188">
        <v>23</v>
      </c>
      <c r="I60" s="189" t="s">
        <v>11</v>
      </c>
      <c r="J60" s="198">
        <v>1018</v>
      </c>
      <c r="K60" s="190" t="s">
        <v>20</v>
      </c>
      <c r="L60" s="190" t="s">
        <v>20</v>
      </c>
      <c r="M60" s="191" t="s">
        <v>20</v>
      </c>
      <c r="N60" s="156"/>
      <c r="O60" s="129">
        <v>23</v>
      </c>
      <c r="P60" s="127" t="s">
        <v>7</v>
      </c>
      <c r="Q60" s="92" t="s">
        <v>20</v>
      </c>
      <c r="R60" s="92" t="s">
        <v>20</v>
      </c>
      <c r="S60" s="92" t="s">
        <v>20</v>
      </c>
      <c r="T60" s="93" t="s">
        <v>20</v>
      </c>
    </row>
    <row r="61" spans="1:20" s="9" customFormat="1" ht="11.25" customHeight="1" x14ac:dyDescent="0.15">
      <c r="A61" s="129">
        <v>24</v>
      </c>
      <c r="B61" s="127" t="s">
        <v>10</v>
      </c>
      <c r="C61" s="92" t="s">
        <v>20</v>
      </c>
      <c r="D61" s="92" t="s">
        <v>20</v>
      </c>
      <c r="E61" s="92" t="s">
        <v>20</v>
      </c>
      <c r="F61" s="93" t="s">
        <v>20</v>
      </c>
      <c r="G61" s="156"/>
      <c r="H61" s="176">
        <v>24</v>
      </c>
      <c r="I61" s="177" t="s">
        <v>12</v>
      </c>
      <c r="J61" s="163" t="s">
        <v>20</v>
      </c>
      <c r="K61" s="163" t="s">
        <v>20</v>
      </c>
      <c r="L61" s="163" t="s">
        <v>20</v>
      </c>
      <c r="M61" s="164" t="s">
        <v>20</v>
      </c>
      <c r="N61" s="156"/>
      <c r="O61" s="129">
        <v>24</v>
      </c>
      <c r="P61" s="127" t="s">
        <v>8</v>
      </c>
      <c r="Q61" s="92" t="s">
        <v>20</v>
      </c>
      <c r="R61" s="92" t="s">
        <v>20</v>
      </c>
      <c r="S61" s="92" t="s">
        <v>20</v>
      </c>
      <c r="T61" s="93" t="s">
        <v>20</v>
      </c>
    </row>
    <row r="62" spans="1:20" s="9" customFormat="1" ht="11.25" customHeight="1" x14ac:dyDescent="0.15">
      <c r="A62" s="188">
        <v>25</v>
      </c>
      <c r="B62" s="189" t="s">
        <v>11</v>
      </c>
      <c r="C62" s="190" t="s">
        <v>20</v>
      </c>
      <c r="D62" s="190" t="s">
        <v>20</v>
      </c>
      <c r="E62" s="190" t="s">
        <v>20</v>
      </c>
      <c r="F62" s="191" t="s">
        <v>20</v>
      </c>
      <c r="G62" s="156"/>
      <c r="H62" s="129">
        <v>25</v>
      </c>
      <c r="I62" s="127" t="s">
        <v>6</v>
      </c>
      <c r="J62" s="92" t="s">
        <v>20</v>
      </c>
      <c r="K62" s="92" t="s">
        <v>20</v>
      </c>
      <c r="L62" s="92" t="s">
        <v>20</v>
      </c>
      <c r="M62" s="93" t="s">
        <v>20</v>
      </c>
      <c r="N62" s="156"/>
      <c r="O62" s="129">
        <v>25</v>
      </c>
      <c r="P62" s="127" t="s">
        <v>9</v>
      </c>
      <c r="Q62" s="92" t="s">
        <v>20</v>
      </c>
      <c r="R62" s="92" t="s">
        <v>20</v>
      </c>
      <c r="S62" s="92" t="s">
        <v>20</v>
      </c>
      <c r="T62" s="93" t="s">
        <v>20</v>
      </c>
    </row>
    <row r="63" spans="1:20" s="9" customFormat="1" ht="11.25" customHeight="1" x14ac:dyDescent="0.15">
      <c r="A63" s="176">
        <v>26</v>
      </c>
      <c r="B63" s="177" t="s">
        <v>12</v>
      </c>
      <c r="C63" s="163" t="s">
        <v>20</v>
      </c>
      <c r="D63" s="163" t="s">
        <v>20</v>
      </c>
      <c r="E63" s="163" t="s">
        <v>20</v>
      </c>
      <c r="F63" s="164" t="s">
        <v>20</v>
      </c>
      <c r="G63" s="156"/>
      <c r="H63" s="129">
        <v>26</v>
      </c>
      <c r="I63" s="127" t="s">
        <v>7</v>
      </c>
      <c r="J63" s="92" t="s">
        <v>20</v>
      </c>
      <c r="K63" s="92" t="s">
        <v>20</v>
      </c>
      <c r="L63" s="92" t="s">
        <v>20</v>
      </c>
      <c r="M63" s="93" t="s">
        <v>20</v>
      </c>
      <c r="N63" s="156"/>
      <c r="O63" s="129">
        <v>26</v>
      </c>
      <c r="P63" s="127" t="s">
        <v>10</v>
      </c>
      <c r="Q63" s="92" t="s">
        <v>20</v>
      </c>
      <c r="R63" s="92" t="s">
        <v>20</v>
      </c>
      <c r="S63" s="92" t="s">
        <v>20</v>
      </c>
      <c r="T63" s="93" t="s">
        <v>20</v>
      </c>
    </row>
    <row r="64" spans="1:20" s="9" customFormat="1" ht="11.25" customHeight="1" x14ac:dyDescent="0.15">
      <c r="A64" s="129">
        <v>27</v>
      </c>
      <c r="B64" s="127" t="s">
        <v>6</v>
      </c>
      <c r="C64" s="92" t="s">
        <v>20</v>
      </c>
      <c r="D64" s="92" t="s">
        <v>20</v>
      </c>
      <c r="E64" s="92" t="s">
        <v>20</v>
      </c>
      <c r="F64" s="93" t="s">
        <v>20</v>
      </c>
      <c r="G64" s="156"/>
      <c r="H64" s="129">
        <v>27</v>
      </c>
      <c r="I64" s="127" t="s">
        <v>8</v>
      </c>
      <c r="J64" s="92" t="s">
        <v>20</v>
      </c>
      <c r="K64" s="92" t="s">
        <v>20</v>
      </c>
      <c r="L64" s="92" t="s">
        <v>20</v>
      </c>
      <c r="M64" s="93" t="s">
        <v>20</v>
      </c>
      <c r="N64" s="156"/>
      <c r="O64" s="188">
        <v>27</v>
      </c>
      <c r="P64" s="189" t="s">
        <v>11</v>
      </c>
      <c r="Q64" s="190" t="s">
        <v>20</v>
      </c>
      <c r="R64" s="190" t="s">
        <v>20</v>
      </c>
      <c r="S64" s="190" t="s">
        <v>20</v>
      </c>
      <c r="T64" s="191">
        <v>242</v>
      </c>
    </row>
    <row r="65" spans="1:20" s="9" customFormat="1" ht="11.25" customHeight="1" x14ac:dyDescent="0.15">
      <c r="A65" s="129">
        <v>28</v>
      </c>
      <c r="B65" s="127" t="s">
        <v>7</v>
      </c>
      <c r="C65" s="92" t="s">
        <v>20</v>
      </c>
      <c r="D65" s="92" t="s">
        <v>20</v>
      </c>
      <c r="E65" s="92" t="s">
        <v>20</v>
      </c>
      <c r="F65" s="93">
        <v>242</v>
      </c>
      <c r="G65" s="156"/>
      <c r="H65" s="129">
        <v>28</v>
      </c>
      <c r="I65" s="127" t="s">
        <v>9</v>
      </c>
      <c r="J65" s="92" t="s">
        <v>20</v>
      </c>
      <c r="K65" s="92" t="s">
        <v>20</v>
      </c>
      <c r="L65" s="92" t="s">
        <v>20</v>
      </c>
      <c r="M65" s="93">
        <v>224</v>
      </c>
      <c r="N65" s="156"/>
      <c r="O65" s="176">
        <v>28</v>
      </c>
      <c r="P65" s="177" t="s">
        <v>12</v>
      </c>
      <c r="Q65" s="178">
        <v>436</v>
      </c>
      <c r="R65" s="163" t="s">
        <v>20</v>
      </c>
      <c r="S65" s="163" t="s">
        <v>20</v>
      </c>
      <c r="T65" s="179">
        <v>304</v>
      </c>
    </row>
    <row r="66" spans="1:20" s="9" customFormat="1" ht="11.25" customHeight="1" x14ac:dyDescent="0.15">
      <c r="A66" s="129">
        <v>29</v>
      </c>
      <c r="B66" s="127" t="s">
        <v>8</v>
      </c>
      <c r="C66" s="92">
        <v>347</v>
      </c>
      <c r="D66" s="143">
        <v>1457</v>
      </c>
      <c r="E66" s="143">
        <v>1604</v>
      </c>
      <c r="F66" s="144">
        <v>245</v>
      </c>
      <c r="G66" s="156"/>
      <c r="H66" s="129">
        <v>29</v>
      </c>
      <c r="I66" s="127" t="s">
        <v>10</v>
      </c>
      <c r="J66" s="132">
        <v>420</v>
      </c>
      <c r="K66" s="92" t="s">
        <v>20</v>
      </c>
      <c r="L66" s="92" t="s">
        <v>20</v>
      </c>
      <c r="M66" s="133">
        <v>247</v>
      </c>
      <c r="N66" s="156"/>
      <c r="O66" s="129">
        <v>29</v>
      </c>
      <c r="P66" s="127" t="s">
        <v>6</v>
      </c>
      <c r="Q66" s="143">
        <v>535</v>
      </c>
      <c r="R66" s="92" t="s">
        <v>20</v>
      </c>
      <c r="S66" s="92" t="s">
        <v>20</v>
      </c>
      <c r="T66" s="144">
        <v>331</v>
      </c>
    </row>
    <row r="67" spans="1:20" s="9" customFormat="1" ht="11.25" customHeight="1" x14ac:dyDescent="0.15">
      <c r="A67" s="129">
        <v>30</v>
      </c>
      <c r="B67" s="127" t="s">
        <v>9</v>
      </c>
      <c r="C67" s="143">
        <v>503</v>
      </c>
      <c r="D67" s="143">
        <v>1521</v>
      </c>
      <c r="E67" s="143">
        <v>1649</v>
      </c>
      <c r="F67" s="144">
        <v>308</v>
      </c>
      <c r="G67" s="156"/>
      <c r="H67" s="188">
        <v>30</v>
      </c>
      <c r="I67" s="189" t="s">
        <v>11</v>
      </c>
      <c r="J67" s="198">
        <v>516</v>
      </c>
      <c r="K67" s="190" t="s">
        <v>20</v>
      </c>
      <c r="L67" s="190" t="s">
        <v>20</v>
      </c>
      <c r="M67" s="199">
        <v>316</v>
      </c>
      <c r="N67" s="156"/>
      <c r="O67" s="129">
        <v>30</v>
      </c>
      <c r="P67" s="127" t="s">
        <v>7</v>
      </c>
      <c r="Q67" s="143">
        <v>622</v>
      </c>
      <c r="R67" s="92" t="s">
        <v>20</v>
      </c>
      <c r="S67" s="92" t="s">
        <v>20</v>
      </c>
      <c r="T67" s="144">
        <v>359</v>
      </c>
    </row>
    <row r="68" spans="1:20" s="9" customFormat="1" ht="11.25" customHeight="1" thickBot="1" x14ac:dyDescent="0.2">
      <c r="A68" s="134"/>
      <c r="B68" s="90"/>
      <c r="C68" s="145"/>
      <c r="D68" s="145"/>
      <c r="E68" s="145"/>
      <c r="F68" s="146"/>
      <c r="G68" s="156"/>
      <c r="H68" s="180">
        <v>31</v>
      </c>
      <c r="I68" s="181" t="s">
        <v>28</v>
      </c>
      <c r="J68" s="182">
        <v>559</v>
      </c>
      <c r="K68" s="183" t="s">
        <v>20</v>
      </c>
      <c r="L68" s="183" t="s">
        <v>20</v>
      </c>
      <c r="M68" s="184">
        <v>347</v>
      </c>
      <c r="N68" s="156"/>
      <c r="O68" s="134"/>
      <c r="P68" s="90"/>
      <c r="Q68" s="145"/>
      <c r="R68" s="145"/>
      <c r="S68" s="145"/>
      <c r="T68" s="146"/>
    </row>
    <row r="69" spans="1:20" s="9" customFormat="1" ht="18" customHeight="1" thickBot="1" x14ac:dyDescent="0.2">
      <c r="A69" s="226" t="s">
        <v>34</v>
      </c>
      <c r="B69" s="226"/>
      <c r="C69" s="226"/>
      <c r="D69" s="226"/>
      <c r="E69" s="226"/>
      <c r="F69" s="226"/>
      <c r="G69" s="155"/>
      <c r="H69" s="226" t="s">
        <v>35</v>
      </c>
      <c r="I69" s="226"/>
      <c r="J69" s="226"/>
      <c r="K69" s="226"/>
      <c r="L69" s="226"/>
      <c r="M69" s="226"/>
      <c r="N69" s="155"/>
      <c r="O69" s="226" t="s">
        <v>37</v>
      </c>
      <c r="P69" s="226"/>
      <c r="Q69" s="226"/>
      <c r="R69" s="226"/>
      <c r="S69" s="226"/>
      <c r="T69" s="226"/>
    </row>
    <row r="70" spans="1:20" ht="11.1" customHeight="1" x14ac:dyDescent="0.15">
      <c r="A70" s="216" t="s">
        <v>0</v>
      </c>
      <c r="B70" s="231"/>
      <c r="C70" s="230" t="s">
        <v>1</v>
      </c>
      <c r="D70" s="220"/>
      <c r="E70" s="220" t="s">
        <v>2</v>
      </c>
      <c r="F70" s="221"/>
      <c r="G70" s="156"/>
      <c r="H70" s="216" t="s">
        <v>0</v>
      </c>
      <c r="I70" s="231"/>
      <c r="J70" s="230" t="s">
        <v>1</v>
      </c>
      <c r="K70" s="220"/>
      <c r="L70" s="220" t="s">
        <v>2</v>
      </c>
      <c r="M70" s="221"/>
      <c r="N70" s="156"/>
      <c r="O70" s="216" t="s">
        <v>0</v>
      </c>
      <c r="P70" s="217"/>
      <c r="Q70" s="220" t="s">
        <v>1</v>
      </c>
      <c r="R70" s="220"/>
      <c r="S70" s="220" t="s">
        <v>2</v>
      </c>
      <c r="T70" s="221"/>
    </row>
    <row r="71" spans="1:20" ht="21.75" customHeight="1" thickBot="1" x14ac:dyDescent="0.2">
      <c r="A71" s="218"/>
      <c r="B71" s="232"/>
      <c r="C71" s="97" t="s">
        <v>3</v>
      </c>
      <c r="D71" s="98" t="s">
        <v>4</v>
      </c>
      <c r="E71" s="98" t="s">
        <v>3</v>
      </c>
      <c r="F71" s="99" t="s">
        <v>5</v>
      </c>
      <c r="G71" s="156"/>
      <c r="H71" s="218"/>
      <c r="I71" s="232"/>
      <c r="J71" s="97" t="s">
        <v>3</v>
      </c>
      <c r="K71" s="98" t="s">
        <v>4</v>
      </c>
      <c r="L71" s="98" t="s">
        <v>3</v>
      </c>
      <c r="M71" s="99" t="s">
        <v>5</v>
      </c>
      <c r="N71" s="156"/>
      <c r="O71" s="218"/>
      <c r="P71" s="219"/>
      <c r="Q71" s="98" t="s">
        <v>3</v>
      </c>
      <c r="R71" s="98" t="s">
        <v>4</v>
      </c>
      <c r="S71" s="98" t="s">
        <v>3</v>
      </c>
      <c r="T71" s="99" t="s">
        <v>5</v>
      </c>
    </row>
    <row r="72" spans="1:20" s="9" customFormat="1" ht="10.5" customHeight="1" x14ac:dyDescent="0.15">
      <c r="A72" s="147">
        <v>1</v>
      </c>
      <c r="B72" s="100" t="s">
        <v>19</v>
      </c>
      <c r="C72" s="101">
        <v>702</v>
      </c>
      <c r="D72" s="96" t="s">
        <v>21</v>
      </c>
      <c r="E72" s="96" t="s">
        <v>21</v>
      </c>
      <c r="F72" s="102">
        <v>429</v>
      </c>
      <c r="G72" s="156"/>
      <c r="H72" s="200">
        <v>1</v>
      </c>
      <c r="I72" s="201" t="s">
        <v>24</v>
      </c>
      <c r="J72" s="202">
        <v>802</v>
      </c>
      <c r="K72" s="203">
        <v>1718</v>
      </c>
      <c r="L72" s="203">
        <v>1937</v>
      </c>
      <c r="M72" s="204">
        <v>503</v>
      </c>
      <c r="N72" s="156"/>
      <c r="O72" s="147">
        <v>1</v>
      </c>
      <c r="P72" s="100" t="s">
        <v>30</v>
      </c>
      <c r="Q72" s="101">
        <v>828</v>
      </c>
      <c r="R72" s="101">
        <v>1741</v>
      </c>
      <c r="S72" s="101">
        <v>2050</v>
      </c>
      <c r="T72" s="102">
        <v>558</v>
      </c>
    </row>
    <row r="73" spans="1:20" s="9" customFormat="1" ht="10.5" customHeight="1" x14ac:dyDescent="0.15">
      <c r="A73" s="149">
        <v>2</v>
      </c>
      <c r="B73" s="100" t="s">
        <v>22</v>
      </c>
      <c r="C73" s="103">
        <v>739</v>
      </c>
      <c r="D73" s="103">
        <v>1757</v>
      </c>
      <c r="E73" s="103">
        <v>1824</v>
      </c>
      <c r="F73" s="104">
        <v>500</v>
      </c>
      <c r="G73" s="156"/>
      <c r="H73" s="174">
        <v>2</v>
      </c>
      <c r="I73" s="159" t="s">
        <v>28</v>
      </c>
      <c r="J73" s="175">
        <v>831</v>
      </c>
      <c r="K73" s="165">
        <v>1748</v>
      </c>
      <c r="L73" s="165">
        <v>2015</v>
      </c>
      <c r="M73" s="167">
        <v>537</v>
      </c>
      <c r="N73" s="156"/>
      <c r="O73" s="149">
        <v>2</v>
      </c>
      <c r="P73" s="100" t="s">
        <v>19</v>
      </c>
      <c r="Q73" s="101">
        <v>848</v>
      </c>
      <c r="R73" s="101">
        <v>1824</v>
      </c>
      <c r="S73" s="101">
        <v>2121</v>
      </c>
      <c r="T73" s="102">
        <v>654</v>
      </c>
    </row>
    <row r="74" spans="1:20" s="9" customFormat="1" ht="10.5" customHeight="1" x14ac:dyDescent="0.15">
      <c r="A74" s="149">
        <v>3</v>
      </c>
      <c r="B74" s="100" t="s">
        <v>23</v>
      </c>
      <c r="C74" s="103">
        <v>812</v>
      </c>
      <c r="D74" s="103">
        <v>1821</v>
      </c>
      <c r="E74" s="103">
        <v>1908</v>
      </c>
      <c r="F74" s="104">
        <v>532</v>
      </c>
      <c r="G74" s="156"/>
      <c r="H74" s="150">
        <v>3</v>
      </c>
      <c r="I74" s="148" t="s">
        <v>29</v>
      </c>
      <c r="J74" s="105">
        <v>857</v>
      </c>
      <c r="K74" s="105">
        <v>1822</v>
      </c>
      <c r="L74" s="105">
        <v>2050</v>
      </c>
      <c r="M74" s="108">
        <v>616</v>
      </c>
      <c r="N74" s="156"/>
      <c r="O74" s="149">
        <v>3</v>
      </c>
      <c r="P74" s="100" t="s">
        <v>22</v>
      </c>
      <c r="Q74" s="101">
        <v>900</v>
      </c>
      <c r="R74" s="101">
        <v>1923</v>
      </c>
      <c r="S74" s="101">
        <v>2148</v>
      </c>
      <c r="T74" s="104" t="s">
        <v>20</v>
      </c>
    </row>
    <row r="75" spans="1:20" s="9" customFormat="1" ht="10.5" customHeight="1" x14ac:dyDescent="0.15">
      <c r="A75" s="205">
        <v>4</v>
      </c>
      <c r="B75" s="206" t="s">
        <v>11</v>
      </c>
      <c r="C75" s="207">
        <v>842</v>
      </c>
      <c r="D75" s="207">
        <v>1854</v>
      </c>
      <c r="E75" s="207">
        <v>1943</v>
      </c>
      <c r="F75" s="208">
        <v>608</v>
      </c>
      <c r="G75" s="156"/>
      <c r="H75" s="150">
        <v>4</v>
      </c>
      <c r="I75" s="148" t="s">
        <v>7</v>
      </c>
      <c r="J75" s="105">
        <v>921</v>
      </c>
      <c r="K75" s="105">
        <v>1904</v>
      </c>
      <c r="L75" s="105">
        <v>2124</v>
      </c>
      <c r="M75" s="108">
        <v>706</v>
      </c>
      <c r="N75" s="156"/>
      <c r="O75" s="149">
        <v>4</v>
      </c>
      <c r="P75" s="100" t="s">
        <v>10</v>
      </c>
      <c r="Q75" s="103" t="s">
        <v>40</v>
      </c>
      <c r="R75" s="103">
        <v>2111</v>
      </c>
      <c r="S75" s="103">
        <v>2150</v>
      </c>
      <c r="T75" s="104" t="s">
        <v>20</v>
      </c>
    </row>
    <row r="76" spans="1:20" s="9" customFormat="1" ht="10.5" customHeight="1" x14ac:dyDescent="0.15">
      <c r="A76" s="158">
        <v>5</v>
      </c>
      <c r="B76" s="166" t="s">
        <v>12</v>
      </c>
      <c r="C76" s="168">
        <v>910</v>
      </c>
      <c r="D76" s="168">
        <v>1938</v>
      </c>
      <c r="E76" s="168">
        <v>2013</v>
      </c>
      <c r="F76" s="169">
        <v>651</v>
      </c>
      <c r="G76" s="156"/>
      <c r="H76" s="150">
        <v>5</v>
      </c>
      <c r="I76" s="148" t="s">
        <v>8</v>
      </c>
      <c r="J76" s="105">
        <v>940</v>
      </c>
      <c r="K76" s="105">
        <v>2002</v>
      </c>
      <c r="L76" s="105">
        <v>2156</v>
      </c>
      <c r="M76" s="107">
        <v>826</v>
      </c>
      <c r="N76" s="156"/>
      <c r="O76" s="205">
        <v>5</v>
      </c>
      <c r="P76" s="206" t="s">
        <v>11</v>
      </c>
      <c r="Q76" s="207" t="s">
        <v>20</v>
      </c>
      <c r="R76" s="207" t="s">
        <v>20</v>
      </c>
      <c r="S76" s="207" t="s">
        <v>20</v>
      </c>
      <c r="T76" s="208" t="s">
        <v>20</v>
      </c>
    </row>
    <row r="77" spans="1:20" s="9" customFormat="1" ht="10.5" customHeight="1" x14ac:dyDescent="0.15">
      <c r="A77" s="149">
        <v>6</v>
      </c>
      <c r="B77" s="100" t="s">
        <v>6</v>
      </c>
      <c r="C77" s="103">
        <v>937</v>
      </c>
      <c r="D77" s="92" t="s">
        <v>20</v>
      </c>
      <c r="E77" s="92" t="s">
        <v>20</v>
      </c>
      <c r="F77" s="104">
        <v>746</v>
      </c>
      <c r="G77" s="156"/>
      <c r="H77" s="150">
        <v>6</v>
      </c>
      <c r="I77" s="148" t="s">
        <v>9</v>
      </c>
      <c r="J77" s="105">
        <v>943</v>
      </c>
      <c r="K77" s="105">
        <v>2141</v>
      </c>
      <c r="L77" s="105">
        <v>2208</v>
      </c>
      <c r="M77" s="109" t="s">
        <v>20</v>
      </c>
      <c r="N77" s="156"/>
      <c r="O77" s="158">
        <v>6</v>
      </c>
      <c r="P77" s="166" t="s">
        <v>12</v>
      </c>
      <c r="Q77" s="168" t="s">
        <v>20</v>
      </c>
      <c r="R77" s="168" t="s">
        <v>20</v>
      </c>
      <c r="S77" s="168" t="s">
        <v>20</v>
      </c>
      <c r="T77" s="169" t="s">
        <v>20</v>
      </c>
    </row>
    <row r="78" spans="1:20" s="9" customFormat="1" ht="10.5" customHeight="1" x14ac:dyDescent="0.15">
      <c r="A78" s="149">
        <v>7</v>
      </c>
      <c r="B78" s="100" t="s">
        <v>7</v>
      </c>
      <c r="C78" s="103">
        <v>959</v>
      </c>
      <c r="D78" s="92" t="s">
        <v>20</v>
      </c>
      <c r="E78" s="92" t="s">
        <v>20</v>
      </c>
      <c r="F78" s="104">
        <v>912</v>
      </c>
      <c r="G78" s="156"/>
      <c r="H78" s="150">
        <v>7</v>
      </c>
      <c r="I78" s="148" t="s">
        <v>10</v>
      </c>
      <c r="J78" s="92" t="s">
        <v>20</v>
      </c>
      <c r="K78" s="92" t="s">
        <v>20</v>
      </c>
      <c r="L78" s="92" t="s">
        <v>20</v>
      </c>
      <c r="M78" s="93" t="s">
        <v>20</v>
      </c>
      <c r="N78" s="156"/>
      <c r="O78" s="149">
        <v>7</v>
      </c>
      <c r="P78" s="100" t="s">
        <v>6</v>
      </c>
      <c r="Q78" s="103" t="s">
        <v>20</v>
      </c>
      <c r="R78" s="103" t="s">
        <v>20</v>
      </c>
      <c r="S78" s="103" t="s">
        <v>20</v>
      </c>
      <c r="T78" s="104">
        <v>138</v>
      </c>
    </row>
    <row r="79" spans="1:20" s="9" customFormat="1" ht="10.5" customHeight="1" x14ac:dyDescent="0.15">
      <c r="A79" s="149">
        <v>8</v>
      </c>
      <c r="B79" s="100" t="s">
        <v>8</v>
      </c>
      <c r="C79" s="103">
        <v>1007</v>
      </c>
      <c r="D79" s="92" t="s">
        <v>20</v>
      </c>
      <c r="E79" s="92" t="s">
        <v>20</v>
      </c>
      <c r="F79" s="93" t="s">
        <v>20</v>
      </c>
      <c r="G79" s="156"/>
      <c r="H79" s="209">
        <v>8</v>
      </c>
      <c r="I79" s="201" t="s">
        <v>11</v>
      </c>
      <c r="J79" s="190" t="s">
        <v>20</v>
      </c>
      <c r="K79" s="190" t="s">
        <v>20</v>
      </c>
      <c r="L79" s="190" t="s">
        <v>20</v>
      </c>
      <c r="M79" s="191" t="s">
        <v>20</v>
      </c>
      <c r="N79" s="156"/>
      <c r="O79" s="149">
        <v>8</v>
      </c>
      <c r="P79" s="100" t="s">
        <v>7</v>
      </c>
      <c r="Q79" s="103">
        <v>256</v>
      </c>
      <c r="R79" s="103" t="s">
        <v>20</v>
      </c>
      <c r="S79" s="103" t="s">
        <v>20</v>
      </c>
      <c r="T79" s="104">
        <v>148</v>
      </c>
    </row>
    <row r="80" spans="1:20" s="9" customFormat="1" ht="10.5" customHeight="1" x14ac:dyDescent="0.15">
      <c r="A80" s="149">
        <v>9</v>
      </c>
      <c r="B80" s="100" t="s">
        <v>9</v>
      </c>
      <c r="C80" s="92" t="s">
        <v>20</v>
      </c>
      <c r="D80" s="92" t="s">
        <v>20</v>
      </c>
      <c r="E80" s="92" t="s">
        <v>20</v>
      </c>
      <c r="F80" s="93" t="s">
        <v>20</v>
      </c>
      <c r="G80" s="156"/>
      <c r="H80" s="174">
        <v>9</v>
      </c>
      <c r="I80" s="159" t="s">
        <v>12</v>
      </c>
      <c r="J80" s="163" t="s">
        <v>20</v>
      </c>
      <c r="K80" s="163" t="s">
        <v>20</v>
      </c>
      <c r="L80" s="163" t="s">
        <v>20</v>
      </c>
      <c r="M80" s="164">
        <v>120</v>
      </c>
      <c r="N80" s="156"/>
      <c r="O80" s="149">
        <v>9</v>
      </c>
      <c r="P80" s="100" t="s">
        <v>8</v>
      </c>
      <c r="Q80" s="103">
        <v>447</v>
      </c>
      <c r="R80" s="103">
        <v>1456</v>
      </c>
      <c r="S80" s="103">
        <v>1606</v>
      </c>
      <c r="T80" s="104">
        <v>218</v>
      </c>
    </row>
    <row r="81" spans="1:20" s="9" customFormat="1" ht="10.5" customHeight="1" x14ac:dyDescent="0.15">
      <c r="A81" s="149">
        <v>10</v>
      </c>
      <c r="B81" s="100" t="s">
        <v>10</v>
      </c>
      <c r="C81" s="92" t="s">
        <v>20</v>
      </c>
      <c r="D81" s="92" t="s">
        <v>20</v>
      </c>
      <c r="E81" s="92" t="s">
        <v>20</v>
      </c>
      <c r="F81" s="93">
        <v>49</v>
      </c>
      <c r="G81" s="156"/>
      <c r="H81" s="150">
        <v>10</v>
      </c>
      <c r="I81" s="148" t="s">
        <v>6</v>
      </c>
      <c r="J81" s="105">
        <v>311</v>
      </c>
      <c r="K81" s="92" t="s">
        <v>20</v>
      </c>
      <c r="L81" s="92" t="s">
        <v>20</v>
      </c>
      <c r="M81" s="107">
        <v>149</v>
      </c>
      <c r="N81" s="156"/>
      <c r="O81" s="149">
        <v>10</v>
      </c>
      <c r="P81" s="100" t="s">
        <v>9</v>
      </c>
      <c r="Q81" s="103">
        <v>548</v>
      </c>
      <c r="R81" s="103">
        <v>1457</v>
      </c>
      <c r="S81" s="103">
        <v>1735</v>
      </c>
      <c r="T81" s="104">
        <v>253</v>
      </c>
    </row>
    <row r="82" spans="1:20" s="9" customFormat="1" ht="10.5" customHeight="1" x14ac:dyDescent="0.15">
      <c r="A82" s="205">
        <v>11</v>
      </c>
      <c r="B82" s="206" t="s">
        <v>11</v>
      </c>
      <c r="C82" s="207">
        <v>119</v>
      </c>
      <c r="D82" s="190" t="s">
        <v>20</v>
      </c>
      <c r="E82" s="190" t="s">
        <v>20</v>
      </c>
      <c r="F82" s="208">
        <v>107</v>
      </c>
      <c r="G82" s="156"/>
      <c r="H82" s="150">
        <v>11</v>
      </c>
      <c r="I82" s="148" t="s">
        <v>7</v>
      </c>
      <c r="J82" s="105">
        <v>500</v>
      </c>
      <c r="K82" s="92" t="s">
        <v>20</v>
      </c>
      <c r="L82" s="92" t="s">
        <v>20</v>
      </c>
      <c r="M82" s="107">
        <v>227</v>
      </c>
      <c r="N82" s="156"/>
      <c r="O82" s="149">
        <v>11</v>
      </c>
      <c r="P82" s="100" t="s">
        <v>10</v>
      </c>
      <c r="Q82" s="103">
        <v>633</v>
      </c>
      <c r="R82" s="103">
        <v>1521</v>
      </c>
      <c r="S82" s="103">
        <v>1831</v>
      </c>
      <c r="T82" s="104">
        <v>329</v>
      </c>
    </row>
    <row r="83" spans="1:20" s="9" customFormat="1" ht="10.5" customHeight="1" x14ac:dyDescent="0.15">
      <c r="A83" s="158">
        <v>12</v>
      </c>
      <c r="B83" s="166" t="s">
        <v>12</v>
      </c>
      <c r="C83" s="168">
        <v>331</v>
      </c>
      <c r="D83" s="163" t="s">
        <v>20</v>
      </c>
      <c r="E83" s="163" t="s">
        <v>20</v>
      </c>
      <c r="F83" s="169">
        <v>148</v>
      </c>
      <c r="G83" s="156"/>
      <c r="H83" s="150">
        <v>12</v>
      </c>
      <c r="I83" s="148" t="s">
        <v>8</v>
      </c>
      <c r="J83" s="105">
        <v>611</v>
      </c>
      <c r="K83" s="106">
        <v>1527</v>
      </c>
      <c r="L83" s="106">
        <v>1729</v>
      </c>
      <c r="M83" s="107">
        <v>306</v>
      </c>
      <c r="N83" s="156"/>
      <c r="O83" s="205">
        <v>12</v>
      </c>
      <c r="P83" s="206" t="s">
        <v>11</v>
      </c>
      <c r="Q83" s="207">
        <v>707</v>
      </c>
      <c r="R83" s="207">
        <v>1551</v>
      </c>
      <c r="S83" s="207">
        <v>1915</v>
      </c>
      <c r="T83" s="208">
        <v>406</v>
      </c>
    </row>
    <row r="84" spans="1:20" s="9" customFormat="1" ht="10.5" customHeight="1" x14ac:dyDescent="0.15">
      <c r="A84" s="149">
        <v>13</v>
      </c>
      <c r="B84" s="100" t="s">
        <v>6</v>
      </c>
      <c r="C84" s="103">
        <v>503</v>
      </c>
      <c r="D84" s="92" t="s">
        <v>20</v>
      </c>
      <c r="E84" s="92" t="s">
        <v>20</v>
      </c>
      <c r="F84" s="104">
        <v>232</v>
      </c>
      <c r="G84" s="156"/>
      <c r="H84" s="150">
        <v>13</v>
      </c>
      <c r="I84" s="148" t="s">
        <v>9</v>
      </c>
      <c r="J84" s="105">
        <v>703</v>
      </c>
      <c r="K84" s="106">
        <v>1552</v>
      </c>
      <c r="L84" s="106">
        <v>1835</v>
      </c>
      <c r="M84" s="107">
        <v>346</v>
      </c>
      <c r="N84" s="156"/>
      <c r="O84" s="158">
        <v>13</v>
      </c>
      <c r="P84" s="166" t="s">
        <v>12</v>
      </c>
      <c r="Q84" s="168">
        <v>735</v>
      </c>
      <c r="R84" s="168">
        <v>1624</v>
      </c>
      <c r="S84" s="168">
        <v>1952</v>
      </c>
      <c r="T84" s="169">
        <v>443</v>
      </c>
    </row>
    <row r="85" spans="1:20" s="9" customFormat="1" ht="10.5" customHeight="1" x14ac:dyDescent="0.15">
      <c r="A85" s="149">
        <v>14</v>
      </c>
      <c r="B85" s="100" t="s">
        <v>7</v>
      </c>
      <c r="C85" s="103">
        <v>616</v>
      </c>
      <c r="D85" s="103">
        <v>1553</v>
      </c>
      <c r="E85" s="103">
        <v>1713</v>
      </c>
      <c r="F85" s="104">
        <v>317</v>
      </c>
      <c r="G85" s="156"/>
      <c r="H85" s="150">
        <v>14</v>
      </c>
      <c r="I85" s="148" t="s">
        <v>10</v>
      </c>
      <c r="J85" s="105">
        <v>745</v>
      </c>
      <c r="K85" s="106">
        <v>1623</v>
      </c>
      <c r="L85" s="106">
        <v>1926</v>
      </c>
      <c r="M85" s="107">
        <v>425</v>
      </c>
      <c r="N85" s="156"/>
      <c r="O85" s="149">
        <v>14</v>
      </c>
      <c r="P85" s="100" t="s">
        <v>6</v>
      </c>
      <c r="Q85" s="103">
        <v>757</v>
      </c>
      <c r="R85" s="103">
        <v>1659</v>
      </c>
      <c r="S85" s="103">
        <v>2022</v>
      </c>
      <c r="T85" s="104">
        <v>522</v>
      </c>
    </row>
    <row r="86" spans="1:20" s="9" customFormat="1" ht="10.5" customHeight="1" x14ac:dyDescent="0.15">
      <c r="A86" s="149">
        <v>15</v>
      </c>
      <c r="B86" s="100" t="s">
        <v>8</v>
      </c>
      <c r="C86" s="103">
        <v>716</v>
      </c>
      <c r="D86" s="103">
        <v>1622</v>
      </c>
      <c r="E86" s="103">
        <v>1825</v>
      </c>
      <c r="F86" s="104">
        <v>402</v>
      </c>
      <c r="G86" s="156"/>
      <c r="H86" s="209">
        <v>15</v>
      </c>
      <c r="I86" s="201" t="s">
        <v>11</v>
      </c>
      <c r="J86" s="210">
        <v>818</v>
      </c>
      <c r="K86" s="211">
        <v>1658</v>
      </c>
      <c r="L86" s="211">
        <v>2009</v>
      </c>
      <c r="M86" s="212">
        <v>503</v>
      </c>
      <c r="N86" s="156"/>
      <c r="O86" s="149">
        <v>15</v>
      </c>
      <c r="P86" s="100" t="s">
        <v>7</v>
      </c>
      <c r="Q86" s="103">
        <v>813</v>
      </c>
      <c r="R86" s="103">
        <v>1737</v>
      </c>
      <c r="S86" s="103">
        <v>2047</v>
      </c>
      <c r="T86" s="104">
        <v>609</v>
      </c>
    </row>
    <row r="87" spans="1:20" s="9" customFormat="1" ht="10.5" customHeight="1" x14ac:dyDescent="0.15">
      <c r="A87" s="149">
        <v>16</v>
      </c>
      <c r="B87" s="100" t="s">
        <v>9</v>
      </c>
      <c r="C87" s="103">
        <v>805</v>
      </c>
      <c r="D87" s="103">
        <v>1658</v>
      </c>
      <c r="E87" s="103">
        <v>1922</v>
      </c>
      <c r="F87" s="104">
        <v>446</v>
      </c>
      <c r="G87" s="156"/>
      <c r="H87" s="174">
        <v>16</v>
      </c>
      <c r="I87" s="159" t="s">
        <v>12</v>
      </c>
      <c r="J87" s="175">
        <v>844</v>
      </c>
      <c r="K87" s="165">
        <v>1735</v>
      </c>
      <c r="L87" s="165">
        <v>2044</v>
      </c>
      <c r="M87" s="167">
        <v>543</v>
      </c>
      <c r="N87" s="156"/>
      <c r="O87" s="149">
        <v>16</v>
      </c>
      <c r="P87" s="100" t="s">
        <v>8</v>
      </c>
      <c r="Q87" s="103">
        <v>821</v>
      </c>
      <c r="R87" s="103">
        <v>1822</v>
      </c>
      <c r="S87" s="103">
        <v>2103</v>
      </c>
      <c r="T87" s="104">
        <v>729</v>
      </c>
    </row>
    <row r="88" spans="1:20" s="9" customFormat="1" ht="10.5" customHeight="1" x14ac:dyDescent="0.15">
      <c r="A88" s="149">
        <v>17</v>
      </c>
      <c r="B88" s="100" t="s">
        <v>10</v>
      </c>
      <c r="C88" s="103">
        <v>846</v>
      </c>
      <c r="D88" s="103">
        <v>1737</v>
      </c>
      <c r="E88" s="103">
        <v>2010</v>
      </c>
      <c r="F88" s="104">
        <v>529</v>
      </c>
      <c r="G88" s="156"/>
      <c r="H88" s="150">
        <v>17</v>
      </c>
      <c r="I88" s="148" t="s">
        <v>6</v>
      </c>
      <c r="J88" s="105">
        <v>904</v>
      </c>
      <c r="K88" s="106">
        <v>1815</v>
      </c>
      <c r="L88" s="106">
        <v>2113</v>
      </c>
      <c r="M88" s="107">
        <v>627</v>
      </c>
      <c r="N88" s="156"/>
      <c r="O88" s="149">
        <v>17</v>
      </c>
      <c r="P88" s="100" t="s">
        <v>9</v>
      </c>
      <c r="Q88" s="103">
        <v>756</v>
      </c>
      <c r="R88" s="103">
        <v>1927</v>
      </c>
      <c r="S88" s="103">
        <v>2102</v>
      </c>
      <c r="T88" s="104" t="s">
        <v>20</v>
      </c>
    </row>
    <row r="89" spans="1:20" s="9" customFormat="1" ht="10.5" customHeight="1" x14ac:dyDescent="0.15">
      <c r="A89" s="205">
        <v>18</v>
      </c>
      <c r="B89" s="206" t="s">
        <v>11</v>
      </c>
      <c r="C89" s="207">
        <v>919</v>
      </c>
      <c r="D89" s="207">
        <v>1818</v>
      </c>
      <c r="E89" s="207">
        <v>2051</v>
      </c>
      <c r="F89" s="208">
        <v>614</v>
      </c>
      <c r="G89" s="156"/>
      <c r="H89" s="150">
        <v>18</v>
      </c>
      <c r="I89" s="148" t="s">
        <v>7</v>
      </c>
      <c r="J89" s="105">
        <v>917</v>
      </c>
      <c r="K89" s="106">
        <v>1904</v>
      </c>
      <c r="L89" s="106">
        <v>2134</v>
      </c>
      <c r="M89" s="107">
        <v>727</v>
      </c>
      <c r="N89" s="156"/>
      <c r="O89" s="149">
        <v>18</v>
      </c>
      <c r="P89" s="100" t="s">
        <v>10</v>
      </c>
      <c r="Q89" s="92" t="s">
        <v>20</v>
      </c>
      <c r="R89" s="92" t="s">
        <v>20</v>
      </c>
      <c r="S89" s="92" t="s">
        <v>20</v>
      </c>
      <c r="T89" s="93" t="s">
        <v>20</v>
      </c>
    </row>
    <row r="90" spans="1:20" s="9" customFormat="1" ht="10.5" customHeight="1" x14ac:dyDescent="0.15">
      <c r="A90" s="158">
        <v>19</v>
      </c>
      <c r="B90" s="166" t="s">
        <v>12</v>
      </c>
      <c r="C90" s="168">
        <v>944</v>
      </c>
      <c r="D90" s="168">
        <v>1905</v>
      </c>
      <c r="E90" s="168">
        <v>2125</v>
      </c>
      <c r="F90" s="169">
        <v>703</v>
      </c>
      <c r="G90" s="156"/>
      <c r="H90" s="150">
        <v>19</v>
      </c>
      <c r="I90" s="148" t="s">
        <v>8</v>
      </c>
      <c r="J90" s="105">
        <v>915</v>
      </c>
      <c r="K90" s="106">
        <v>2017</v>
      </c>
      <c r="L90" s="106">
        <v>2134</v>
      </c>
      <c r="M90" s="93" t="s">
        <v>20</v>
      </c>
      <c r="N90" s="156"/>
      <c r="O90" s="205">
        <v>19</v>
      </c>
      <c r="P90" s="206" t="s">
        <v>11</v>
      </c>
      <c r="Q90" s="190" t="s">
        <v>20</v>
      </c>
      <c r="R90" s="190" t="s">
        <v>20</v>
      </c>
      <c r="S90" s="190" t="s">
        <v>20</v>
      </c>
      <c r="T90" s="191" t="s">
        <v>20</v>
      </c>
    </row>
    <row r="91" spans="1:20" s="9" customFormat="1" ht="10.5" customHeight="1" x14ac:dyDescent="0.15">
      <c r="A91" s="149">
        <v>20</v>
      </c>
      <c r="B91" s="100" t="s">
        <v>6</v>
      </c>
      <c r="C91" s="103">
        <v>1001</v>
      </c>
      <c r="D91" s="103">
        <v>2003</v>
      </c>
      <c r="E91" s="103">
        <v>2149</v>
      </c>
      <c r="F91" s="104">
        <v>807</v>
      </c>
      <c r="G91" s="156"/>
      <c r="H91" s="150">
        <v>20</v>
      </c>
      <c r="I91" s="148" t="s">
        <v>9</v>
      </c>
      <c r="J91" s="92" t="s">
        <v>20</v>
      </c>
      <c r="K91" s="92" t="s">
        <v>20</v>
      </c>
      <c r="L91" s="92" t="s">
        <v>20</v>
      </c>
      <c r="M91" s="93" t="s">
        <v>20</v>
      </c>
      <c r="N91" s="156"/>
      <c r="O91" s="158">
        <v>20</v>
      </c>
      <c r="P91" s="166" t="s">
        <v>12</v>
      </c>
      <c r="Q91" s="163" t="s">
        <v>20</v>
      </c>
      <c r="R91" s="163" t="s">
        <v>20</v>
      </c>
      <c r="S91" s="163" t="s">
        <v>20</v>
      </c>
      <c r="T91" s="164" t="s">
        <v>20</v>
      </c>
    </row>
    <row r="92" spans="1:20" s="9" customFormat="1" ht="10.5" customHeight="1" x14ac:dyDescent="0.15">
      <c r="A92" s="149">
        <v>21</v>
      </c>
      <c r="B92" s="100" t="s">
        <v>7</v>
      </c>
      <c r="C92" s="103">
        <v>1005</v>
      </c>
      <c r="D92" s="92" t="s">
        <v>20</v>
      </c>
      <c r="E92" s="92" t="s">
        <v>20</v>
      </c>
      <c r="F92" s="93" t="s">
        <v>20</v>
      </c>
      <c r="G92" s="156"/>
      <c r="H92" s="150">
        <v>21</v>
      </c>
      <c r="I92" s="148" t="s">
        <v>10</v>
      </c>
      <c r="J92" s="92" t="s">
        <v>20</v>
      </c>
      <c r="K92" s="92" t="s">
        <v>20</v>
      </c>
      <c r="L92" s="92" t="s">
        <v>20</v>
      </c>
      <c r="M92" s="93" t="s">
        <v>20</v>
      </c>
      <c r="N92" s="156"/>
      <c r="O92" s="149">
        <v>21</v>
      </c>
      <c r="P92" s="100" t="s">
        <v>6</v>
      </c>
      <c r="Q92" s="92" t="s">
        <v>20</v>
      </c>
      <c r="R92" s="92" t="s">
        <v>20</v>
      </c>
      <c r="S92" s="92" t="s">
        <v>20</v>
      </c>
      <c r="T92" s="93" t="s">
        <v>20</v>
      </c>
    </row>
    <row r="93" spans="1:20" s="9" customFormat="1" ht="10.5" customHeight="1" x14ac:dyDescent="0.15">
      <c r="A93" s="149">
        <v>22</v>
      </c>
      <c r="B93" s="100" t="s">
        <v>8</v>
      </c>
      <c r="C93" s="92" t="s">
        <v>20</v>
      </c>
      <c r="D93" s="92" t="s">
        <v>20</v>
      </c>
      <c r="E93" s="92" t="s">
        <v>20</v>
      </c>
      <c r="F93" s="93" t="s">
        <v>20</v>
      </c>
      <c r="G93" s="156"/>
      <c r="H93" s="209">
        <v>22</v>
      </c>
      <c r="I93" s="201" t="s">
        <v>11</v>
      </c>
      <c r="J93" s="190" t="s">
        <v>20</v>
      </c>
      <c r="K93" s="190" t="s">
        <v>20</v>
      </c>
      <c r="L93" s="190" t="s">
        <v>20</v>
      </c>
      <c r="M93" s="191" t="s">
        <v>20</v>
      </c>
      <c r="N93" s="156"/>
      <c r="O93" s="149">
        <v>22</v>
      </c>
      <c r="P93" s="100" t="s">
        <v>7</v>
      </c>
      <c r="Q93" s="92" t="s">
        <v>20</v>
      </c>
      <c r="R93" s="92" t="s">
        <v>20</v>
      </c>
      <c r="S93" s="92" t="s">
        <v>20</v>
      </c>
      <c r="T93" s="93" t="s">
        <v>20</v>
      </c>
    </row>
    <row r="94" spans="1:20" s="9" customFormat="1" ht="10.5" customHeight="1" x14ac:dyDescent="0.15">
      <c r="A94" s="149">
        <v>23</v>
      </c>
      <c r="B94" s="100" t="s">
        <v>9</v>
      </c>
      <c r="C94" s="92" t="s">
        <v>20</v>
      </c>
      <c r="D94" s="92" t="s">
        <v>20</v>
      </c>
      <c r="E94" s="92" t="s">
        <v>20</v>
      </c>
      <c r="F94" s="93" t="s">
        <v>20</v>
      </c>
      <c r="G94" s="156"/>
      <c r="H94" s="174">
        <v>23</v>
      </c>
      <c r="I94" s="159" t="s">
        <v>12</v>
      </c>
      <c r="J94" s="163" t="s">
        <v>20</v>
      </c>
      <c r="K94" s="163" t="s">
        <v>20</v>
      </c>
      <c r="L94" s="163" t="s">
        <v>20</v>
      </c>
      <c r="M94" s="164" t="s">
        <v>20</v>
      </c>
      <c r="N94" s="156"/>
      <c r="O94" s="149">
        <v>23</v>
      </c>
      <c r="P94" s="100" t="s">
        <v>8</v>
      </c>
      <c r="Q94" s="92" t="s">
        <v>20</v>
      </c>
      <c r="R94" s="92" t="s">
        <v>20</v>
      </c>
      <c r="S94" s="92" t="s">
        <v>20</v>
      </c>
      <c r="T94" s="93">
        <v>251</v>
      </c>
    </row>
    <row r="95" spans="1:20" s="9" customFormat="1" ht="10.5" customHeight="1" x14ac:dyDescent="0.15">
      <c r="A95" s="149">
        <v>24</v>
      </c>
      <c r="B95" s="100" t="s">
        <v>10</v>
      </c>
      <c r="C95" s="92" t="s">
        <v>20</v>
      </c>
      <c r="D95" s="92" t="s">
        <v>20</v>
      </c>
      <c r="E95" s="92" t="s">
        <v>20</v>
      </c>
      <c r="F95" s="93" t="s">
        <v>20</v>
      </c>
      <c r="G95" s="156"/>
      <c r="H95" s="150">
        <v>24</v>
      </c>
      <c r="I95" s="148" t="s">
        <v>6</v>
      </c>
      <c r="J95" s="92" t="s">
        <v>20</v>
      </c>
      <c r="K95" s="92" t="s">
        <v>20</v>
      </c>
      <c r="L95" s="92" t="s">
        <v>20</v>
      </c>
      <c r="M95" s="93" t="s">
        <v>20</v>
      </c>
      <c r="N95" s="156"/>
      <c r="O95" s="149">
        <v>24</v>
      </c>
      <c r="P95" s="100" t="s">
        <v>9</v>
      </c>
      <c r="Q95" s="103">
        <v>331</v>
      </c>
      <c r="R95" s="92" t="s">
        <v>20</v>
      </c>
      <c r="S95" s="92" t="s">
        <v>20</v>
      </c>
      <c r="T95" s="104">
        <v>233</v>
      </c>
    </row>
    <row r="96" spans="1:20" s="9" customFormat="1" ht="10.5" customHeight="1" x14ac:dyDescent="0.15">
      <c r="A96" s="205">
        <v>25</v>
      </c>
      <c r="B96" s="206" t="s">
        <v>11</v>
      </c>
      <c r="C96" s="190" t="s">
        <v>20</v>
      </c>
      <c r="D96" s="190" t="s">
        <v>20</v>
      </c>
      <c r="E96" s="190" t="s">
        <v>20</v>
      </c>
      <c r="F96" s="191" t="s">
        <v>20</v>
      </c>
      <c r="G96" s="156"/>
      <c r="H96" s="150">
        <v>25</v>
      </c>
      <c r="I96" s="148" t="s">
        <v>7</v>
      </c>
      <c r="J96" s="92" t="s">
        <v>20</v>
      </c>
      <c r="K96" s="92" t="s">
        <v>20</v>
      </c>
      <c r="L96" s="92" t="s">
        <v>20</v>
      </c>
      <c r="M96" s="93">
        <v>244</v>
      </c>
      <c r="N96" s="156"/>
      <c r="O96" s="149">
        <v>25</v>
      </c>
      <c r="P96" s="100" t="s">
        <v>10</v>
      </c>
      <c r="Q96" s="103">
        <v>456</v>
      </c>
      <c r="R96" s="103">
        <v>1459</v>
      </c>
      <c r="S96" s="103">
        <v>1702</v>
      </c>
      <c r="T96" s="104">
        <v>250</v>
      </c>
    </row>
    <row r="97" spans="1:20" s="9" customFormat="1" ht="10.5" customHeight="1" x14ac:dyDescent="0.15">
      <c r="A97" s="158">
        <v>26</v>
      </c>
      <c r="B97" s="166" t="s">
        <v>12</v>
      </c>
      <c r="C97" s="163" t="s">
        <v>20</v>
      </c>
      <c r="D97" s="163" t="s">
        <v>20</v>
      </c>
      <c r="E97" s="163" t="s">
        <v>20</v>
      </c>
      <c r="F97" s="164">
        <v>304</v>
      </c>
      <c r="G97" s="156"/>
      <c r="H97" s="150">
        <v>26</v>
      </c>
      <c r="I97" s="148" t="s">
        <v>8</v>
      </c>
      <c r="J97" s="105">
        <v>446</v>
      </c>
      <c r="K97" s="92" t="s">
        <v>20</v>
      </c>
      <c r="L97" s="92" t="s">
        <v>20</v>
      </c>
      <c r="M97" s="107">
        <v>251</v>
      </c>
      <c r="N97" s="156"/>
      <c r="O97" s="205">
        <v>26</v>
      </c>
      <c r="P97" s="206" t="s">
        <v>11</v>
      </c>
      <c r="Q97" s="207">
        <v>544</v>
      </c>
      <c r="R97" s="207">
        <v>1509</v>
      </c>
      <c r="S97" s="207">
        <v>1800</v>
      </c>
      <c r="T97" s="208">
        <v>316</v>
      </c>
    </row>
    <row r="98" spans="1:20" s="9" customFormat="1" ht="10.5" customHeight="1" x14ac:dyDescent="0.15">
      <c r="A98" s="149">
        <v>27</v>
      </c>
      <c r="B98" s="100" t="s">
        <v>6</v>
      </c>
      <c r="C98" s="103">
        <v>343</v>
      </c>
      <c r="D98" s="92" t="s">
        <v>20</v>
      </c>
      <c r="E98" s="92" t="s">
        <v>20</v>
      </c>
      <c r="F98" s="104">
        <v>255</v>
      </c>
      <c r="G98" s="156"/>
      <c r="H98" s="150">
        <v>27</v>
      </c>
      <c r="I98" s="148" t="s">
        <v>9</v>
      </c>
      <c r="J98" s="105">
        <v>545</v>
      </c>
      <c r="K98" s="106">
        <v>1541</v>
      </c>
      <c r="L98" s="106">
        <v>1713</v>
      </c>
      <c r="M98" s="107">
        <v>312</v>
      </c>
      <c r="N98" s="156"/>
      <c r="O98" s="158">
        <v>27</v>
      </c>
      <c r="P98" s="166" t="s">
        <v>12</v>
      </c>
      <c r="Q98" s="168">
        <v>622</v>
      </c>
      <c r="R98" s="168">
        <v>1531</v>
      </c>
      <c r="S98" s="168">
        <v>1847</v>
      </c>
      <c r="T98" s="169">
        <v>348</v>
      </c>
    </row>
    <row r="99" spans="1:20" s="9" customFormat="1" ht="10.5" customHeight="1" x14ac:dyDescent="0.15">
      <c r="A99" s="149">
        <v>28</v>
      </c>
      <c r="B99" s="100" t="s">
        <v>7</v>
      </c>
      <c r="C99" s="103">
        <v>516</v>
      </c>
      <c r="D99" s="92" t="s">
        <v>20</v>
      </c>
      <c r="E99" s="92" t="s">
        <v>20</v>
      </c>
      <c r="F99" s="104">
        <v>312</v>
      </c>
      <c r="G99" s="156"/>
      <c r="H99" s="150">
        <v>28</v>
      </c>
      <c r="I99" s="148" t="s">
        <v>10</v>
      </c>
      <c r="J99" s="105">
        <v>628</v>
      </c>
      <c r="K99" s="106">
        <v>1549</v>
      </c>
      <c r="L99" s="106">
        <v>1812</v>
      </c>
      <c r="M99" s="107">
        <v>338</v>
      </c>
      <c r="N99" s="156"/>
      <c r="O99" s="149">
        <v>28</v>
      </c>
      <c r="P99" s="100" t="s">
        <v>6</v>
      </c>
      <c r="Q99" s="103">
        <v>655</v>
      </c>
      <c r="R99" s="103">
        <v>1600</v>
      </c>
      <c r="S99" s="103">
        <v>1928</v>
      </c>
      <c r="T99" s="104">
        <v>425</v>
      </c>
    </row>
    <row r="100" spans="1:20" s="9" customFormat="1" ht="10.5" customHeight="1" x14ac:dyDescent="0.15">
      <c r="A100" s="149">
        <v>29</v>
      </c>
      <c r="B100" s="100" t="s">
        <v>8</v>
      </c>
      <c r="C100" s="103">
        <v>610</v>
      </c>
      <c r="D100" s="92" t="s">
        <v>20</v>
      </c>
      <c r="E100" s="92" t="s">
        <v>20</v>
      </c>
      <c r="F100" s="104">
        <v>336</v>
      </c>
      <c r="G100" s="156"/>
      <c r="H100" s="209">
        <v>29</v>
      </c>
      <c r="I100" s="201" t="s">
        <v>11</v>
      </c>
      <c r="J100" s="210">
        <v>704</v>
      </c>
      <c r="K100" s="211">
        <v>1609</v>
      </c>
      <c r="L100" s="211">
        <v>1858</v>
      </c>
      <c r="M100" s="212">
        <v>407</v>
      </c>
      <c r="N100" s="156"/>
      <c r="O100" s="149">
        <v>29</v>
      </c>
      <c r="P100" s="100" t="s">
        <v>7</v>
      </c>
      <c r="Q100" s="103">
        <v>724</v>
      </c>
      <c r="R100" s="103">
        <v>1634</v>
      </c>
      <c r="S100" s="103">
        <v>2006</v>
      </c>
      <c r="T100" s="104">
        <v>507</v>
      </c>
    </row>
    <row r="101" spans="1:20" s="9" customFormat="1" ht="10.5" customHeight="1" x14ac:dyDescent="0.15">
      <c r="A101" s="149">
        <v>30</v>
      </c>
      <c r="B101" s="100" t="s">
        <v>9</v>
      </c>
      <c r="C101" s="103">
        <v>653</v>
      </c>
      <c r="D101" s="103">
        <v>1634</v>
      </c>
      <c r="E101" s="103">
        <v>1808</v>
      </c>
      <c r="F101" s="104">
        <v>403</v>
      </c>
      <c r="G101" s="156"/>
      <c r="H101" s="174">
        <v>30</v>
      </c>
      <c r="I101" s="159" t="s">
        <v>12</v>
      </c>
      <c r="J101" s="175">
        <v>735</v>
      </c>
      <c r="K101" s="165">
        <v>1636</v>
      </c>
      <c r="L101" s="165">
        <v>1939</v>
      </c>
      <c r="M101" s="167">
        <v>439</v>
      </c>
      <c r="N101" s="156"/>
      <c r="O101" s="149">
        <v>30</v>
      </c>
      <c r="P101" s="100" t="s">
        <v>8</v>
      </c>
      <c r="Q101" s="103">
        <v>748</v>
      </c>
      <c r="R101" s="103">
        <v>1714</v>
      </c>
      <c r="S101" s="103">
        <v>2040</v>
      </c>
      <c r="T101" s="104">
        <v>559</v>
      </c>
    </row>
    <row r="102" spans="1:20" s="9" customFormat="1" ht="10.5" customHeight="1" thickBot="1" x14ac:dyDescent="0.2">
      <c r="A102" s="151">
        <v>31</v>
      </c>
      <c r="B102" s="110" t="s">
        <v>23</v>
      </c>
      <c r="C102" s="111">
        <v>730</v>
      </c>
      <c r="D102" s="111">
        <v>1653</v>
      </c>
      <c r="E102" s="111">
        <v>1856</v>
      </c>
      <c r="F102" s="112">
        <v>432</v>
      </c>
      <c r="G102" s="156"/>
      <c r="H102" s="152">
        <v>31</v>
      </c>
      <c r="I102" s="98" t="s">
        <v>29</v>
      </c>
      <c r="J102" s="113">
        <v>803</v>
      </c>
      <c r="K102" s="114">
        <v>1706</v>
      </c>
      <c r="L102" s="114">
        <v>2016</v>
      </c>
      <c r="M102" s="115">
        <v>515</v>
      </c>
      <c r="N102" s="156"/>
      <c r="O102" s="151"/>
      <c r="P102" s="98"/>
      <c r="Q102" s="153"/>
      <c r="R102" s="153"/>
      <c r="S102" s="153"/>
      <c r="T102" s="154"/>
    </row>
    <row r="103" spans="1:20" s="9" customFormat="1" ht="18" customHeight="1" thickBot="1" x14ac:dyDescent="0.2">
      <c r="A103" s="229" t="s">
        <v>36</v>
      </c>
      <c r="B103" s="229"/>
      <c r="C103" s="229"/>
      <c r="D103" s="229"/>
      <c r="E103" s="229"/>
      <c r="F103" s="229"/>
      <c r="G103" s="155"/>
      <c r="H103" s="229" t="s">
        <v>38</v>
      </c>
      <c r="I103" s="229"/>
      <c r="J103" s="229"/>
      <c r="K103" s="229"/>
      <c r="L103" s="229"/>
      <c r="M103" s="229"/>
      <c r="N103" s="155"/>
      <c r="O103" s="229" t="s">
        <v>39</v>
      </c>
      <c r="P103" s="229"/>
      <c r="Q103" s="229"/>
      <c r="R103" s="229"/>
      <c r="S103" s="229"/>
      <c r="T103" s="229"/>
    </row>
    <row r="104" spans="1:20" ht="12.75" customHeight="1" x14ac:dyDescent="0.15">
      <c r="A104" s="216" t="s">
        <v>0</v>
      </c>
      <c r="B104" s="217"/>
      <c r="C104" s="220" t="s">
        <v>1</v>
      </c>
      <c r="D104" s="220"/>
      <c r="E104" s="220" t="s">
        <v>2</v>
      </c>
      <c r="F104" s="221"/>
      <c r="G104" s="156"/>
      <c r="H104" s="216" t="s">
        <v>0</v>
      </c>
      <c r="I104" s="217"/>
      <c r="J104" s="220" t="s">
        <v>1</v>
      </c>
      <c r="K104" s="220"/>
      <c r="L104" s="220" t="s">
        <v>2</v>
      </c>
      <c r="M104" s="221"/>
      <c r="N104" s="156"/>
      <c r="O104" s="216" t="s">
        <v>0</v>
      </c>
      <c r="P104" s="217"/>
      <c r="Q104" s="220" t="s">
        <v>1</v>
      </c>
      <c r="R104" s="220"/>
      <c r="S104" s="220" t="s">
        <v>2</v>
      </c>
      <c r="T104" s="221"/>
    </row>
    <row r="105" spans="1:20" ht="21.75" customHeight="1" thickBot="1" x14ac:dyDescent="0.2">
      <c r="A105" s="218"/>
      <c r="B105" s="219"/>
      <c r="C105" s="98" t="s">
        <v>3</v>
      </c>
      <c r="D105" s="98" t="s">
        <v>4</v>
      </c>
      <c r="E105" s="98" t="s">
        <v>3</v>
      </c>
      <c r="F105" s="99" t="s">
        <v>5</v>
      </c>
      <c r="G105" s="156"/>
      <c r="H105" s="218"/>
      <c r="I105" s="219"/>
      <c r="J105" s="98" t="s">
        <v>3</v>
      </c>
      <c r="K105" s="98" t="s">
        <v>4</v>
      </c>
      <c r="L105" s="98" t="s">
        <v>3</v>
      </c>
      <c r="M105" s="99" t="s">
        <v>5</v>
      </c>
      <c r="N105" s="156"/>
      <c r="O105" s="218"/>
      <c r="P105" s="219"/>
      <c r="Q105" s="98" t="s">
        <v>3</v>
      </c>
      <c r="R105" s="98" t="s">
        <v>4</v>
      </c>
      <c r="S105" s="98" t="s">
        <v>3</v>
      </c>
      <c r="T105" s="99" t="s">
        <v>5</v>
      </c>
    </row>
    <row r="106" spans="1:20" s="9" customFormat="1" ht="11.25" customHeight="1" x14ac:dyDescent="0.15">
      <c r="A106" s="147">
        <v>1</v>
      </c>
      <c r="B106" s="100" t="s">
        <v>22</v>
      </c>
      <c r="C106" s="101">
        <v>805</v>
      </c>
      <c r="D106" s="101">
        <v>1802</v>
      </c>
      <c r="E106" s="101">
        <v>2111</v>
      </c>
      <c r="F106" s="102" t="s">
        <v>40</v>
      </c>
      <c r="G106" s="156"/>
      <c r="H106" s="170">
        <v>1</v>
      </c>
      <c r="I106" s="166" t="s">
        <v>28</v>
      </c>
      <c r="J106" s="171" t="s">
        <v>20</v>
      </c>
      <c r="K106" s="172" t="s">
        <v>20</v>
      </c>
      <c r="L106" s="172" t="s">
        <v>20</v>
      </c>
      <c r="M106" s="173" t="s">
        <v>20</v>
      </c>
      <c r="N106" s="156"/>
      <c r="O106" s="147">
        <v>1</v>
      </c>
      <c r="P106" s="148" t="s">
        <v>30</v>
      </c>
      <c r="Q106" s="116" t="s">
        <v>20</v>
      </c>
      <c r="R106" s="117" t="s">
        <v>20</v>
      </c>
      <c r="S106" s="117" t="s">
        <v>20</v>
      </c>
      <c r="T106" s="118" t="s">
        <v>20</v>
      </c>
    </row>
    <row r="107" spans="1:20" s="9" customFormat="1" ht="11.25" customHeight="1" x14ac:dyDescent="0.15">
      <c r="A107" s="149">
        <v>2</v>
      </c>
      <c r="B107" s="100" t="s">
        <v>23</v>
      </c>
      <c r="C107" s="101" t="s">
        <v>40</v>
      </c>
      <c r="D107" s="244">
        <v>0.79791666666666661</v>
      </c>
      <c r="E107" s="244">
        <v>0.89930555555555547</v>
      </c>
      <c r="F107" s="119" t="s">
        <v>20</v>
      </c>
      <c r="G107" s="156"/>
      <c r="H107" s="149">
        <v>2</v>
      </c>
      <c r="I107" s="100" t="s">
        <v>29</v>
      </c>
      <c r="J107" s="92" t="s">
        <v>20</v>
      </c>
      <c r="K107" s="92" t="s">
        <v>20</v>
      </c>
      <c r="L107" s="92" t="s">
        <v>20</v>
      </c>
      <c r="M107" s="93" t="s">
        <v>20</v>
      </c>
      <c r="N107" s="156"/>
      <c r="O107" s="149">
        <v>2</v>
      </c>
      <c r="P107" s="148" t="s">
        <v>19</v>
      </c>
      <c r="Q107" s="92" t="s">
        <v>20</v>
      </c>
      <c r="R107" s="92" t="s">
        <v>20</v>
      </c>
      <c r="S107" s="92" t="s">
        <v>20</v>
      </c>
      <c r="T107" s="93" t="s">
        <v>20</v>
      </c>
    </row>
    <row r="108" spans="1:20" s="9" customFormat="1" ht="11.25" customHeight="1" x14ac:dyDescent="0.15">
      <c r="A108" s="205">
        <v>3</v>
      </c>
      <c r="B108" s="206" t="s">
        <v>24</v>
      </c>
      <c r="C108" s="207" t="s">
        <v>20</v>
      </c>
      <c r="D108" s="207" t="s">
        <v>20</v>
      </c>
      <c r="E108" s="207" t="s">
        <v>20</v>
      </c>
      <c r="F108" s="208" t="s">
        <v>20</v>
      </c>
      <c r="G108" s="156"/>
      <c r="H108" s="149">
        <v>3</v>
      </c>
      <c r="I108" s="100" t="s">
        <v>30</v>
      </c>
      <c r="J108" s="92" t="s">
        <v>20</v>
      </c>
      <c r="K108" s="92" t="s">
        <v>20</v>
      </c>
      <c r="L108" s="92" t="s">
        <v>20</v>
      </c>
      <c r="M108" s="93" t="s">
        <v>20</v>
      </c>
      <c r="N108" s="156"/>
      <c r="O108" s="149">
        <v>3</v>
      </c>
      <c r="P108" s="148" t="s">
        <v>22</v>
      </c>
      <c r="Q108" s="92" t="s">
        <v>20</v>
      </c>
      <c r="R108" s="92" t="s">
        <v>20</v>
      </c>
      <c r="S108" s="92" t="s">
        <v>20</v>
      </c>
      <c r="T108" s="93" t="s">
        <v>20</v>
      </c>
    </row>
    <row r="109" spans="1:20" s="9" customFormat="1" ht="11.25" customHeight="1" x14ac:dyDescent="0.15">
      <c r="A109" s="158">
        <v>4</v>
      </c>
      <c r="B109" s="166" t="s">
        <v>12</v>
      </c>
      <c r="C109" s="168" t="s">
        <v>20</v>
      </c>
      <c r="D109" s="168" t="s">
        <v>20</v>
      </c>
      <c r="E109" s="168" t="s">
        <v>20</v>
      </c>
      <c r="F109" s="169" t="s">
        <v>20</v>
      </c>
      <c r="G109" s="156"/>
      <c r="H109" s="149">
        <v>4</v>
      </c>
      <c r="I109" s="100" t="s">
        <v>8</v>
      </c>
      <c r="J109" s="92" t="s">
        <v>20</v>
      </c>
      <c r="K109" s="92" t="s">
        <v>20</v>
      </c>
      <c r="L109" s="92" t="s">
        <v>20</v>
      </c>
      <c r="M109" s="93" t="s">
        <v>20</v>
      </c>
      <c r="N109" s="156"/>
      <c r="O109" s="149">
        <v>4</v>
      </c>
      <c r="P109" s="148" t="s">
        <v>10</v>
      </c>
      <c r="Q109" s="92" t="s">
        <v>20</v>
      </c>
      <c r="R109" s="92" t="s">
        <v>20</v>
      </c>
      <c r="S109" s="92" t="s">
        <v>20</v>
      </c>
      <c r="T109" s="93" t="s">
        <v>20</v>
      </c>
    </row>
    <row r="110" spans="1:20" s="9" customFormat="1" ht="11.25" customHeight="1" x14ac:dyDescent="0.15">
      <c r="A110" s="149">
        <v>5</v>
      </c>
      <c r="B110" s="100" t="s">
        <v>6</v>
      </c>
      <c r="C110" s="92" t="s">
        <v>20</v>
      </c>
      <c r="D110" s="92" t="s">
        <v>20</v>
      </c>
      <c r="E110" s="92" t="s">
        <v>20</v>
      </c>
      <c r="F110" s="93" t="s">
        <v>20</v>
      </c>
      <c r="G110" s="156"/>
      <c r="H110" s="149">
        <v>5</v>
      </c>
      <c r="I110" s="100" t="s">
        <v>9</v>
      </c>
      <c r="J110" s="92" t="s">
        <v>20</v>
      </c>
      <c r="K110" s="103" t="s">
        <v>20</v>
      </c>
      <c r="L110" s="103" t="s">
        <v>20</v>
      </c>
      <c r="M110" s="93" t="s">
        <v>20</v>
      </c>
      <c r="N110" s="156"/>
      <c r="O110" s="205">
        <v>5</v>
      </c>
      <c r="P110" s="201" t="s">
        <v>11</v>
      </c>
      <c r="Q110" s="190" t="s">
        <v>20</v>
      </c>
      <c r="R110" s="190" t="s">
        <v>20</v>
      </c>
      <c r="S110" s="190" t="s">
        <v>20</v>
      </c>
      <c r="T110" s="191" t="s">
        <v>20</v>
      </c>
    </row>
    <row r="111" spans="1:20" s="9" customFormat="1" ht="11.25" customHeight="1" x14ac:dyDescent="0.15">
      <c r="A111" s="149">
        <v>6</v>
      </c>
      <c r="B111" s="100" t="s">
        <v>7</v>
      </c>
      <c r="C111" s="92" t="s">
        <v>20</v>
      </c>
      <c r="D111" s="92" t="s">
        <v>20</v>
      </c>
      <c r="E111" s="92" t="s">
        <v>20</v>
      </c>
      <c r="F111" s="93" t="s">
        <v>20</v>
      </c>
      <c r="G111" s="156"/>
      <c r="H111" s="149">
        <v>6</v>
      </c>
      <c r="I111" s="100" t="s">
        <v>10</v>
      </c>
      <c r="J111" s="92" t="s">
        <v>20</v>
      </c>
      <c r="K111" s="106">
        <v>1405</v>
      </c>
      <c r="L111" s="106">
        <v>1532</v>
      </c>
      <c r="M111" s="107">
        <v>226</v>
      </c>
      <c r="N111" s="156"/>
      <c r="O111" s="158">
        <v>6</v>
      </c>
      <c r="P111" s="159" t="s">
        <v>12</v>
      </c>
      <c r="Q111" s="163" t="s">
        <v>20</v>
      </c>
      <c r="R111" s="165">
        <v>1425</v>
      </c>
      <c r="S111" s="165">
        <v>1545</v>
      </c>
      <c r="T111" s="164" t="s">
        <v>20</v>
      </c>
    </row>
    <row r="112" spans="1:20" s="9" customFormat="1" ht="11.25" customHeight="1" x14ac:dyDescent="0.15">
      <c r="A112" s="149">
        <v>7</v>
      </c>
      <c r="B112" s="100" t="s">
        <v>8</v>
      </c>
      <c r="C112" s="92" t="s">
        <v>20</v>
      </c>
      <c r="D112" s="92" t="s">
        <v>20</v>
      </c>
      <c r="E112" s="92" t="s">
        <v>20</v>
      </c>
      <c r="F112" s="93">
        <v>145</v>
      </c>
      <c r="G112" s="156"/>
      <c r="H112" s="205">
        <v>7</v>
      </c>
      <c r="I112" s="206" t="s">
        <v>11</v>
      </c>
      <c r="J112" s="211">
        <v>341</v>
      </c>
      <c r="K112" s="211">
        <v>1414</v>
      </c>
      <c r="L112" s="211">
        <v>1648</v>
      </c>
      <c r="M112" s="212">
        <v>254</v>
      </c>
      <c r="N112" s="156"/>
      <c r="O112" s="149">
        <v>7</v>
      </c>
      <c r="P112" s="148" t="s">
        <v>6</v>
      </c>
      <c r="Q112" s="92" t="s">
        <v>20</v>
      </c>
      <c r="R112" s="106">
        <v>1445</v>
      </c>
      <c r="S112" s="106">
        <v>1651</v>
      </c>
      <c r="T112" s="93" t="s">
        <v>20</v>
      </c>
    </row>
    <row r="113" spans="1:20" s="9" customFormat="1" ht="11.25" customHeight="1" x14ac:dyDescent="0.15">
      <c r="A113" s="149">
        <v>8</v>
      </c>
      <c r="B113" s="100" t="s">
        <v>9</v>
      </c>
      <c r="C113" s="103">
        <v>405</v>
      </c>
      <c r="D113" s="103">
        <v>1422</v>
      </c>
      <c r="E113" s="103">
        <v>1608</v>
      </c>
      <c r="F113" s="104">
        <v>211</v>
      </c>
      <c r="G113" s="156"/>
      <c r="H113" s="158">
        <v>8</v>
      </c>
      <c r="I113" s="166" t="s">
        <v>12</v>
      </c>
      <c r="J113" s="165">
        <v>430</v>
      </c>
      <c r="K113" s="165">
        <v>1440</v>
      </c>
      <c r="L113" s="165">
        <v>1739</v>
      </c>
      <c r="M113" s="167">
        <v>329</v>
      </c>
      <c r="N113" s="156"/>
      <c r="O113" s="149">
        <v>8</v>
      </c>
      <c r="P113" s="148" t="s">
        <v>7</v>
      </c>
      <c r="Q113" s="92" t="s">
        <v>20</v>
      </c>
      <c r="R113" s="106">
        <v>1514</v>
      </c>
      <c r="S113" s="106">
        <v>1739</v>
      </c>
      <c r="T113" s="93" t="s">
        <v>20</v>
      </c>
    </row>
    <row r="114" spans="1:20" s="9" customFormat="1" ht="11.25" customHeight="1" x14ac:dyDescent="0.15">
      <c r="A114" s="149">
        <v>9</v>
      </c>
      <c r="B114" s="100" t="s">
        <v>10</v>
      </c>
      <c r="C114" s="103">
        <v>503</v>
      </c>
      <c r="D114" s="103">
        <v>1431</v>
      </c>
      <c r="E114" s="103">
        <v>1721</v>
      </c>
      <c r="F114" s="104">
        <v>244</v>
      </c>
      <c r="G114" s="156"/>
      <c r="H114" s="149">
        <v>9</v>
      </c>
      <c r="I114" s="100" t="s">
        <v>6</v>
      </c>
      <c r="J114" s="120">
        <v>505</v>
      </c>
      <c r="K114" s="120">
        <v>1511</v>
      </c>
      <c r="L114" s="120">
        <v>1819</v>
      </c>
      <c r="M114" s="121">
        <v>409</v>
      </c>
      <c r="N114" s="156"/>
      <c r="O114" s="149">
        <v>9</v>
      </c>
      <c r="P114" s="148" t="s">
        <v>8</v>
      </c>
      <c r="Q114" s="92" t="s">
        <v>20</v>
      </c>
      <c r="R114" s="106">
        <v>1547</v>
      </c>
      <c r="S114" s="106">
        <v>1817</v>
      </c>
      <c r="T114" s="93" t="s">
        <v>20</v>
      </c>
    </row>
    <row r="115" spans="1:20" s="9" customFormat="1" ht="11.25" customHeight="1" x14ac:dyDescent="0.15">
      <c r="A115" s="205">
        <v>10</v>
      </c>
      <c r="B115" s="206" t="s">
        <v>11</v>
      </c>
      <c r="C115" s="207">
        <v>543</v>
      </c>
      <c r="D115" s="207">
        <v>1456</v>
      </c>
      <c r="E115" s="207">
        <v>1812</v>
      </c>
      <c r="F115" s="208">
        <v>319</v>
      </c>
      <c r="G115" s="156"/>
      <c r="H115" s="149">
        <v>10</v>
      </c>
      <c r="I115" s="100" t="s">
        <v>7</v>
      </c>
      <c r="J115" s="120">
        <v>532</v>
      </c>
      <c r="K115" s="120">
        <v>1545</v>
      </c>
      <c r="L115" s="120">
        <v>1851</v>
      </c>
      <c r="M115" s="121">
        <v>456</v>
      </c>
      <c r="N115" s="156"/>
      <c r="O115" s="149">
        <v>10</v>
      </c>
      <c r="P115" s="148" t="s">
        <v>9</v>
      </c>
      <c r="Q115" s="92" t="s">
        <v>20</v>
      </c>
      <c r="R115" s="105">
        <v>1622</v>
      </c>
      <c r="S115" s="105">
        <v>1849</v>
      </c>
      <c r="T115" s="93" t="s">
        <v>20</v>
      </c>
    </row>
    <row r="116" spans="1:20" s="9" customFormat="1" ht="11.25" customHeight="1" x14ac:dyDescent="0.15">
      <c r="A116" s="158">
        <v>11</v>
      </c>
      <c r="B116" s="166" t="s">
        <v>12</v>
      </c>
      <c r="C116" s="168">
        <v>615</v>
      </c>
      <c r="D116" s="168">
        <v>1526</v>
      </c>
      <c r="E116" s="168">
        <v>1852</v>
      </c>
      <c r="F116" s="169">
        <v>356</v>
      </c>
      <c r="G116" s="156"/>
      <c r="H116" s="149">
        <v>11</v>
      </c>
      <c r="I116" s="100" t="s">
        <v>8</v>
      </c>
      <c r="J116" s="120">
        <v>549</v>
      </c>
      <c r="K116" s="120">
        <v>1622</v>
      </c>
      <c r="L116" s="120">
        <v>1918</v>
      </c>
      <c r="M116" s="93" t="s">
        <v>20</v>
      </c>
      <c r="N116" s="156"/>
      <c r="O116" s="149">
        <v>11</v>
      </c>
      <c r="P116" s="148" t="s">
        <v>10</v>
      </c>
      <c r="Q116" s="103" t="s">
        <v>20</v>
      </c>
      <c r="R116" s="122">
        <v>1656</v>
      </c>
      <c r="S116" s="123">
        <v>1918</v>
      </c>
      <c r="T116" s="93" t="s">
        <v>20</v>
      </c>
    </row>
    <row r="117" spans="1:20" s="9" customFormat="1" ht="11.25" customHeight="1" x14ac:dyDescent="0.15">
      <c r="A117" s="149">
        <v>12</v>
      </c>
      <c r="B117" s="100" t="s">
        <v>6</v>
      </c>
      <c r="C117" s="103">
        <v>640</v>
      </c>
      <c r="D117" s="103">
        <v>1559</v>
      </c>
      <c r="E117" s="103">
        <v>1925</v>
      </c>
      <c r="F117" s="104">
        <v>435</v>
      </c>
      <c r="G117" s="156"/>
      <c r="H117" s="149">
        <v>12</v>
      </c>
      <c r="I117" s="100" t="s">
        <v>9</v>
      </c>
      <c r="J117" s="92" t="s">
        <v>20</v>
      </c>
      <c r="K117" s="120">
        <v>1700</v>
      </c>
      <c r="L117" s="120">
        <v>1941</v>
      </c>
      <c r="M117" s="93" t="s">
        <v>20</v>
      </c>
      <c r="N117" s="156"/>
      <c r="O117" s="205">
        <v>12</v>
      </c>
      <c r="P117" s="201" t="s">
        <v>11</v>
      </c>
      <c r="Q117" s="207" t="s">
        <v>20</v>
      </c>
      <c r="R117" s="207">
        <v>1732</v>
      </c>
      <c r="S117" s="207">
        <v>1943</v>
      </c>
      <c r="T117" s="191" t="s">
        <v>20</v>
      </c>
    </row>
    <row r="118" spans="1:20" s="9" customFormat="1" ht="11.25" customHeight="1" x14ac:dyDescent="0.15">
      <c r="A118" s="149">
        <v>13</v>
      </c>
      <c r="B118" s="100" t="s">
        <v>7</v>
      </c>
      <c r="C118" s="103">
        <v>700</v>
      </c>
      <c r="D118" s="103">
        <v>1634</v>
      </c>
      <c r="E118" s="103">
        <v>1952</v>
      </c>
      <c r="F118" s="104">
        <v>519</v>
      </c>
      <c r="G118" s="156"/>
      <c r="H118" s="149">
        <v>13</v>
      </c>
      <c r="I118" s="100" t="s">
        <v>10</v>
      </c>
      <c r="J118" s="92" t="s">
        <v>20</v>
      </c>
      <c r="K118" s="106">
        <v>1743</v>
      </c>
      <c r="L118" s="106">
        <v>1959</v>
      </c>
      <c r="M118" s="93" t="s">
        <v>20</v>
      </c>
      <c r="N118" s="156"/>
      <c r="O118" s="158">
        <v>13</v>
      </c>
      <c r="P118" s="159" t="s">
        <v>12</v>
      </c>
      <c r="Q118" s="168" t="s">
        <v>20</v>
      </c>
      <c r="R118" s="168">
        <v>1811</v>
      </c>
      <c r="S118" s="168">
        <v>2005</v>
      </c>
      <c r="T118" s="164" t="s">
        <v>20</v>
      </c>
    </row>
    <row r="119" spans="1:20" s="9" customFormat="1" ht="11.25" customHeight="1" x14ac:dyDescent="0.15">
      <c r="A119" s="149">
        <v>14</v>
      </c>
      <c r="B119" s="100" t="s">
        <v>8</v>
      </c>
      <c r="C119" s="103">
        <v>714</v>
      </c>
      <c r="D119" s="103">
        <v>1712</v>
      </c>
      <c r="E119" s="103">
        <v>2014</v>
      </c>
      <c r="F119" s="104">
        <v>622</v>
      </c>
      <c r="G119" s="156"/>
      <c r="H119" s="205">
        <v>14</v>
      </c>
      <c r="I119" s="206" t="s">
        <v>11</v>
      </c>
      <c r="J119" s="190" t="s">
        <v>20</v>
      </c>
      <c r="K119" s="211">
        <v>1836</v>
      </c>
      <c r="L119" s="211">
        <v>2007</v>
      </c>
      <c r="M119" s="191" t="s">
        <v>20</v>
      </c>
      <c r="N119" s="156"/>
      <c r="O119" s="149">
        <v>14</v>
      </c>
      <c r="P119" s="148" t="s">
        <v>6</v>
      </c>
      <c r="Q119" s="103" t="s">
        <v>20</v>
      </c>
      <c r="R119" s="103">
        <v>1859</v>
      </c>
      <c r="S119" s="103">
        <v>2021</v>
      </c>
      <c r="T119" s="93" t="s">
        <v>20</v>
      </c>
    </row>
    <row r="120" spans="1:20" s="9" customFormat="1" ht="11.25" customHeight="1" x14ac:dyDescent="0.15">
      <c r="A120" s="149">
        <v>15</v>
      </c>
      <c r="B120" s="100" t="s">
        <v>9</v>
      </c>
      <c r="C120" s="103">
        <v>709</v>
      </c>
      <c r="D120" s="103">
        <v>1755</v>
      </c>
      <c r="E120" s="103">
        <v>2028</v>
      </c>
      <c r="F120" s="93" t="s">
        <v>20</v>
      </c>
      <c r="G120" s="156"/>
      <c r="H120" s="158">
        <v>15</v>
      </c>
      <c r="I120" s="166" t="s">
        <v>12</v>
      </c>
      <c r="J120" s="163" t="s">
        <v>20</v>
      </c>
      <c r="K120" s="163" t="s">
        <v>20</v>
      </c>
      <c r="L120" s="163" t="s">
        <v>20</v>
      </c>
      <c r="M120" s="164" t="s">
        <v>20</v>
      </c>
      <c r="N120" s="156"/>
      <c r="O120" s="149">
        <v>15</v>
      </c>
      <c r="P120" s="148" t="s">
        <v>7</v>
      </c>
      <c r="Q120" s="103" t="s">
        <v>20</v>
      </c>
      <c r="R120" s="103" t="s">
        <v>20</v>
      </c>
      <c r="S120" s="103" t="s">
        <v>20</v>
      </c>
      <c r="T120" s="93" t="s">
        <v>20</v>
      </c>
    </row>
    <row r="121" spans="1:20" s="9" customFormat="1" ht="11.25" customHeight="1" x14ac:dyDescent="0.15">
      <c r="A121" s="149">
        <v>16</v>
      </c>
      <c r="B121" s="100" t="s">
        <v>10</v>
      </c>
      <c r="C121" s="92" t="s">
        <v>20</v>
      </c>
      <c r="D121" s="103">
        <v>1856</v>
      </c>
      <c r="E121" s="103">
        <v>2028</v>
      </c>
      <c r="F121" s="93" t="s">
        <v>20</v>
      </c>
      <c r="G121" s="156"/>
      <c r="H121" s="149">
        <v>16</v>
      </c>
      <c r="I121" s="100" t="s">
        <v>6</v>
      </c>
      <c r="J121" s="92" t="s">
        <v>20</v>
      </c>
      <c r="K121" s="92" t="s">
        <v>20</v>
      </c>
      <c r="L121" s="92" t="s">
        <v>20</v>
      </c>
      <c r="M121" s="93" t="s">
        <v>20</v>
      </c>
      <c r="N121" s="156"/>
      <c r="O121" s="149">
        <v>16</v>
      </c>
      <c r="P121" s="148" t="s">
        <v>8</v>
      </c>
      <c r="Q121" s="103" t="s">
        <v>20</v>
      </c>
      <c r="R121" s="103" t="s">
        <v>20</v>
      </c>
      <c r="S121" s="103" t="s">
        <v>20</v>
      </c>
      <c r="T121" s="93" t="s">
        <v>20</v>
      </c>
    </row>
    <row r="122" spans="1:20" s="9" customFormat="1" ht="11.25" customHeight="1" x14ac:dyDescent="0.15">
      <c r="A122" s="205">
        <v>17</v>
      </c>
      <c r="B122" s="206" t="s">
        <v>11</v>
      </c>
      <c r="C122" s="190" t="s">
        <v>20</v>
      </c>
      <c r="D122" s="190" t="s">
        <v>20</v>
      </c>
      <c r="E122" s="190" t="s">
        <v>20</v>
      </c>
      <c r="F122" s="191" t="s">
        <v>20</v>
      </c>
      <c r="G122" s="156"/>
      <c r="H122" s="149">
        <v>17</v>
      </c>
      <c r="I122" s="100" t="s">
        <v>7</v>
      </c>
      <c r="J122" s="92" t="s">
        <v>20</v>
      </c>
      <c r="K122" s="92" t="s">
        <v>20</v>
      </c>
      <c r="L122" s="92" t="s">
        <v>20</v>
      </c>
      <c r="M122" s="93" t="s">
        <v>20</v>
      </c>
      <c r="N122" s="156"/>
      <c r="O122" s="149">
        <v>17</v>
      </c>
      <c r="P122" s="148" t="s">
        <v>9</v>
      </c>
      <c r="Q122" s="103" t="s">
        <v>20</v>
      </c>
      <c r="R122" s="103" t="s">
        <v>20</v>
      </c>
      <c r="S122" s="103" t="s">
        <v>20</v>
      </c>
      <c r="T122" s="93" t="s">
        <v>20</v>
      </c>
    </row>
    <row r="123" spans="1:20" s="9" customFormat="1" ht="11.25" customHeight="1" x14ac:dyDescent="0.15">
      <c r="A123" s="158">
        <v>18</v>
      </c>
      <c r="B123" s="166" t="s">
        <v>12</v>
      </c>
      <c r="C123" s="163" t="s">
        <v>20</v>
      </c>
      <c r="D123" s="163" t="s">
        <v>20</v>
      </c>
      <c r="E123" s="163" t="s">
        <v>20</v>
      </c>
      <c r="F123" s="164" t="s">
        <v>20</v>
      </c>
      <c r="G123" s="156"/>
      <c r="H123" s="149">
        <v>18</v>
      </c>
      <c r="I123" s="100" t="s">
        <v>8</v>
      </c>
      <c r="J123" s="92" t="s">
        <v>20</v>
      </c>
      <c r="K123" s="92" t="s">
        <v>20</v>
      </c>
      <c r="L123" s="92" t="s">
        <v>20</v>
      </c>
      <c r="M123" s="93" t="s">
        <v>20</v>
      </c>
      <c r="N123" s="156"/>
      <c r="O123" s="149">
        <v>18</v>
      </c>
      <c r="P123" s="148" t="s">
        <v>10</v>
      </c>
      <c r="Q123" s="103" t="s">
        <v>20</v>
      </c>
      <c r="R123" s="103" t="s">
        <v>20</v>
      </c>
      <c r="S123" s="103" t="s">
        <v>20</v>
      </c>
      <c r="T123" s="93" t="s">
        <v>20</v>
      </c>
    </row>
    <row r="124" spans="1:20" s="9" customFormat="1" ht="11.25" customHeight="1" x14ac:dyDescent="0.15">
      <c r="A124" s="149">
        <v>19</v>
      </c>
      <c r="B124" s="100" t="s">
        <v>6</v>
      </c>
      <c r="C124" s="92" t="s">
        <v>20</v>
      </c>
      <c r="D124" s="92" t="s">
        <v>20</v>
      </c>
      <c r="E124" s="92" t="s">
        <v>20</v>
      </c>
      <c r="F124" s="93" t="s">
        <v>20</v>
      </c>
      <c r="G124" s="156"/>
      <c r="H124" s="149">
        <v>19</v>
      </c>
      <c r="I124" s="100" t="s">
        <v>9</v>
      </c>
      <c r="J124" s="92" t="s">
        <v>20</v>
      </c>
      <c r="K124" s="92" t="s">
        <v>20</v>
      </c>
      <c r="L124" s="92" t="s">
        <v>20</v>
      </c>
      <c r="M124" s="93" t="s">
        <v>20</v>
      </c>
      <c r="N124" s="156"/>
      <c r="O124" s="205">
        <v>19</v>
      </c>
      <c r="P124" s="201" t="s">
        <v>11</v>
      </c>
      <c r="Q124" s="207" t="s">
        <v>20</v>
      </c>
      <c r="R124" s="207" t="s">
        <v>20</v>
      </c>
      <c r="S124" s="207" t="s">
        <v>20</v>
      </c>
      <c r="T124" s="191" t="s">
        <v>20</v>
      </c>
    </row>
    <row r="125" spans="1:20" s="9" customFormat="1" ht="11.25" customHeight="1" x14ac:dyDescent="0.15">
      <c r="A125" s="149">
        <v>20</v>
      </c>
      <c r="B125" s="100" t="s">
        <v>7</v>
      </c>
      <c r="C125" s="92" t="s">
        <v>20</v>
      </c>
      <c r="D125" s="92" t="s">
        <v>20</v>
      </c>
      <c r="E125" s="92" t="s">
        <v>20</v>
      </c>
      <c r="F125" s="93" t="s">
        <v>20</v>
      </c>
      <c r="G125" s="156"/>
      <c r="H125" s="149">
        <v>20</v>
      </c>
      <c r="I125" s="100" t="s">
        <v>10</v>
      </c>
      <c r="J125" s="92" t="s">
        <v>20</v>
      </c>
      <c r="K125" s="92" t="s">
        <v>20</v>
      </c>
      <c r="L125" s="92" t="s">
        <v>20</v>
      </c>
      <c r="M125" s="93" t="s">
        <v>20</v>
      </c>
      <c r="N125" s="156"/>
      <c r="O125" s="158">
        <v>20</v>
      </c>
      <c r="P125" s="159" t="s">
        <v>12</v>
      </c>
      <c r="Q125" s="168" t="s">
        <v>20</v>
      </c>
      <c r="R125" s="168" t="s">
        <v>20</v>
      </c>
      <c r="S125" s="168" t="s">
        <v>20</v>
      </c>
      <c r="T125" s="164" t="s">
        <v>20</v>
      </c>
    </row>
    <row r="126" spans="1:20" s="9" customFormat="1" ht="11.25" customHeight="1" x14ac:dyDescent="0.15">
      <c r="A126" s="149">
        <v>21</v>
      </c>
      <c r="B126" s="100" t="s">
        <v>8</v>
      </c>
      <c r="C126" s="92" t="s">
        <v>20</v>
      </c>
      <c r="D126" s="92" t="s">
        <v>20</v>
      </c>
      <c r="E126" s="92" t="s">
        <v>20</v>
      </c>
      <c r="F126" s="93" t="s">
        <v>20</v>
      </c>
      <c r="G126" s="156"/>
      <c r="H126" s="205">
        <v>21</v>
      </c>
      <c r="I126" s="206" t="s">
        <v>11</v>
      </c>
      <c r="J126" s="190" t="s">
        <v>20</v>
      </c>
      <c r="K126" s="190" t="s">
        <v>20</v>
      </c>
      <c r="L126" s="190" t="s">
        <v>20</v>
      </c>
      <c r="M126" s="191" t="s">
        <v>20</v>
      </c>
      <c r="N126" s="156"/>
      <c r="O126" s="149">
        <v>21</v>
      </c>
      <c r="P126" s="148" t="s">
        <v>6</v>
      </c>
      <c r="Q126" s="103" t="s">
        <v>20</v>
      </c>
      <c r="R126" s="103" t="s">
        <v>20</v>
      </c>
      <c r="S126" s="103" t="s">
        <v>20</v>
      </c>
      <c r="T126" s="93" t="s">
        <v>20</v>
      </c>
    </row>
    <row r="127" spans="1:20" s="9" customFormat="1" ht="11.25" customHeight="1" x14ac:dyDescent="0.15">
      <c r="A127" s="149">
        <v>22</v>
      </c>
      <c r="B127" s="100" t="s">
        <v>9</v>
      </c>
      <c r="C127" s="92" t="s">
        <v>20</v>
      </c>
      <c r="D127" s="92" t="s">
        <v>20</v>
      </c>
      <c r="E127" s="92" t="s">
        <v>20</v>
      </c>
      <c r="F127" s="93" t="s">
        <v>20</v>
      </c>
      <c r="G127" s="156"/>
      <c r="H127" s="158">
        <v>22</v>
      </c>
      <c r="I127" s="166" t="s">
        <v>12</v>
      </c>
      <c r="J127" s="163" t="s">
        <v>20</v>
      </c>
      <c r="K127" s="165">
        <v>1356</v>
      </c>
      <c r="L127" s="165">
        <v>1545</v>
      </c>
      <c r="M127" s="164" t="s">
        <v>20</v>
      </c>
      <c r="N127" s="156"/>
      <c r="O127" s="149">
        <v>22</v>
      </c>
      <c r="P127" s="148" t="s">
        <v>7</v>
      </c>
      <c r="Q127" s="103" t="s">
        <v>20</v>
      </c>
      <c r="R127" s="106">
        <v>1403</v>
      </c>
      <c r="S127" s="106">
        <v>1624</v>
      </c>
      <c r="T127" s="93" t="s">
        <v>20</v>
      </c>
    </row>
    <row r="128" spans="1:20" s="9" customFormat="1" ht="11.25" customHeight="1" x14ac:dyDescent="0.15">
      <c r="A128" s="149">
        <v>23</v>
      </c>
      <c r="B128" s="100" t="s">
        <v>10</v>
      </c>
      <c r="C128" s="92" t="s">
        <v>20</v>
      </c>
      <c r="D128" s="92" t="s">
        <v>20</v>
      </c>
      <c r="E128" s="92" t="s">
        <v>20</v>
      </c>
      <c r="F128" s="93">
        <v>233</v>
      </c>
      <c r="G128" s="156"/>
      <c r="H128" s="149">
        <v>23</v>
      </c>
      <c r="I128" s="100" t="s">
        <v>6</v>
      </c>
      <c r="J128" s="92" t="s">
        <v>20</v>
      </c>
      <c r="K128" s="106">
        <v>1410</v>
      </c>
      <c r="L128" s="106">
        <v>1702</v>
      </c>
      <c r="M128" s="107">
        <v>317</v>
      </c>
      <c r="N128" s="156"/>
      <c r="O128" s="149">
        <v>23</v>
      </c>
      <c r="P128" s="148" t="s">
        <v>8</v>
      </c>
      <c r="Q128" s="103" t="s">
        <v>20</v>
      </c>
      <c r="R128" s="106">
        <v>1436</v>
      </c>
      <c r="S128" s="106">
        <v>1739</v>
      </c>
      <c r="T128" s="93" t="s">
        <v>20</v>
      </c>
    </row>
    <row r="129" spans="1:20" s="9" customFormat="1" ht="11.25" customHeight="1" x14ac:dyDescent="0.15">
      <c r="A129" s="205">
        <v>24</v>
      </c>
      <c r="B129" s="206" t="s">
        <v>11</v>
      </c>
      <c r="C129" s="207">
        <v>331</v>
      </c>
      <c r="D129" s="207">
        <v>1423</v>
      </c>
      <c r="E129" s="207">
        <v>1633</v>
      </c>
      <c r="F129" s="208">
        <v>237</v>
      </c>
      <c r="G129" s="156"/>
      <c r="H129" s="149">
        <v>24</v>
      </c>
      <c r="I129" s="100" t="s">
        <v>7</v>
      </c>
      <c r="J129" s="106">
        <v>417</v>
      </c>
      <c r="K129" s="106">
        <v>1441</v>
      </c>
      <c r="L129" s="106">
        <v>1801</v>
      </c>
      <c r="M129" s="107">
        <v>351</v>
      </c>
      <c r="N129" s="156"/>
      <c r="O129" s="149">
        <v>24</v>
      </c>
      <c r="P129" s="148" t="s">
        <v>9</v>
      </c>
      <c r="Q129" s="103" t="s">
        <v>20</v>
      </c>
      <c r="R129" s="106">
        <v>1518</v>
      </c>
      <c r="S129" s="106">
        <v>1841</v>
      </c>
      <c r="T129" s="93" t="s">
        <v>20</v>
      </c>
    </row>
    <row r="130" spans="1:20" s="9" customFormat="1" ht="11.25" customHeight="1" x14ac:dyDescent="0.15">
      <c r="A130" s="158">
        <v>25</v>
      </c>
      <c r="B130" s="166" t="s">
        <v>12</v>
      </c>
      <c r="C130" s="168">
        <v>442</v>
      </c>
      <c r="D130" s="168">
        <v>1435</v>
      </c>
      <c r="E130" s="168">
        <v>1736</v>
      </c>
      <c r="F130" s="169">
        <v>303</v>
      </c>
      <c r="G130" s="156"/>
      <c r="H130" s="149">
        <v>25</v>
      </c>
      <c r="I130" s="100" t="s">
        <v>8</v>
      </c>
      <c r="J130" s="106">
        <v>511</v>
      </c>
      <c r="K130" s="106">
        <v>1521</v>
      </c>
      <c r="L130" s="106">
        <v>1853</v>
      </c>
      <c r="M130" s="107">
        <v>438</v>
      </c>
      <c r="N130" s="156"/>
      <c r="O130" s="149">
        <v>25</v>
      </c>
      <c r="P130" s="148" t="s">
        <v>10</v>
      </c>
      <c r="Q130" s="103" t="s">
        <v>20</v>
      </c>
      <c r="R130" s="106">
        <v>1604</v>
      </c>
      <c r="S130" s="106">
        <v>1935</v>
      </c>
      <c r="T130" s="107">
        <v>530</v>
      </c>
    </row>
    <row r="131" spans="1:20" s="9" customFormat="1" ht="11.25" customHeight="1" x14ac:dyDescent="0.15">
      <c r="A131" s="149">
        <v>26</v>
      </c>
      <c r="B131" s="100" t="s">
        <v>6</v>
      </c>
      <c r="C131" s="103">
        <v>528</v>
      </c>
      <c r="D131" s="103">
        <v>1501</v>
      </c>
      <c r="E131" s="103">
        <v>1826</v>
      </c>
      <c r="F131" s="104">
        <v>340</v>
      </c>
      <c r="G131" s="156"/>
      <c r="H131" s="149">
        <v>26</v>
      </c>
      <c r="I131" s="100" t="s">
        <v>9</v>
      </c>
      <c r="J131" s="106">
        <v>554</v>
      </c>
      <c r="K131" s="106">
        <v>1607</v>
      </c>
      <c r="L131" s="106">
        <v>1941</v>
      </c>
      <c r="M131" s="107">
        <v>538</v>
      </c>
      <c r="N131" s="156"/>
      <c r="O131" s="205">
        <v>26</v>
      </c>
      <c r="P131" s="201" t="s">
        <v>11</v>
      </c>
      <c r="Q131" s="210">
        <v>627</v>
      </c>
      <c r="R131" s="211">
        <v>1652</v>
      </c>
      <c r="S131" s="211">
        <v>2023</v>
      </c>
      <c r="T131" s="212">
        <v>612</v>
      </c>
    </row>
    <row r="132" spans="1:20" s="9" customFormat="1" ht="11.25" customHeight="1" x14ac:dyDescent="0.15">
      <c r="A132" s="149">
        <v>27</v>
      </c>
      <c r="B132" s="100" t="s">
        <v>7</v>
      </c>
      <c r="C132" s="103">
        <v>607</v>
      </c>
      <c r="D132" s="103">
        <v>1535</v>
      </c>
      <c r="E132" s="103">
        <v>1911</v>
      </c>
      <c r="F132" s="104">
        <v>423</v>
      </c>
      <c r="G132" s="156"/>
      <c r="H132" s="149">
        <v>27</v>
      </c>
      <c r="I132" s="100" t="s">
        <v>10</v>
      </c>
      <c r="J132" s="106">
        <v>626</v>
      </c>
      <c r="K132" s="106">
        <v>1657</v>
      </c>
      <c r="L132" s="106">
        <v>2025</v>
      </c>
      <c r="M132" s="93" t="s">
        <v>20</v>
      </c>
      <c r="N132" s="156"/>
      <c r="O132" s="158">
        <v>27</v>
      </c>
      <c r="P132" s="159" t="s">
        <v>12</v>
      </c>
      <c r="Q132" s="160">
        <v>719</v>
      </c>
      <c r="R132" s="161">
        <v>1741</v>
      </c>
      <c r="S132" s="161">
        <v>2103</v>
      </c>
      <c r="T132" s="162">
        <v>703</v>
      </c>
    </row>
    <row r="133" spans="1:20" s="9" customFormat="1" ht="11.25" customHeight="1" x14ac:dyDescent="0.15">
      <c r="A133" s="149">
        <v>28</v>
      </c>
      <c r="B133" s="100" t="s">
        <v>8</v>
      </c>
      <c r="C133" s="103">
        <v>639</v>
      </c>
      <c r="D133" s="103">
        <v>1614</v>
      </c>
      <c r="E133" s="103">
        <v>1952</v>
      </c>
      <c r="F133" s="104">
        <v>515</v>
      </c>
      <c r="G133" s="156"/>
      <c r="H133" s="205">
        <v>28</v>
      </c>
      <c r="I133" s="206" t="s">
        <v>11</v>
      </c>
      <c r="J133" s="190" t="s">
        <v>20</v>
      </c>
      <c r="K133" s="211">
        <v>1753</v>
      </c>
      <c r="L133" s="211">
        <v>2104</v>
      </c>
      <c r="M133" s="191" t="s">
        <v>20</v>
      </c>
      <c r="N133" s="156"/>
      <c r="O133" s="149">
        <v>28</v>
      </c>
      <c r="P133" s="148" t="s">
        <v>6</v>
      </c>
      <c r="Q133" s="103">
        <v>800</v>
      </c>
      <c r="R133" s="103">
        <v>1833</v>
      </c>
      <c r="S133" s="103">
        <v>2134</v>
      </c>
      <c r="T133" s="93" t="s">
        <v>20</v>
      </c>
    </row>
    <row r="134" spans="1:20" s="9" customFormat="1" ht="11.25" customHeight="1" x14ac:dyDescent="0.15">
      <c r="A134" s="149">
        <v>29</v>
      </c>
      <c r="B134" s="100" t="s">
        <v>9</v>
      </c>
      <c r="C134" s="103">
        <v>705</v>
      </c>
      <c r="D134" s="103">
        <v>1701</v>
      </c>
      <c r="E134" s="103">
        <v>2030</v>
      </c>
      <c r="F134" s="104">
        <v>631</v>
      </c>
      <c r="G134" s="156"/>
      <c r="H134" s="158">
        <v>29</v>
      </c>
      <c r="I134" s="166" t="s">
        <v>12</v>
      </c>
      <c r="J134" s="163" t="s">
        <v>20</v>
      </c>
      <c r="K134" s="165">
        <v>1856</v>
      </c>
      <c r="L134" s="165">
        <v>2138</v>
      </c>
      <c r="M134" s="164" t="s">
        <v>20</v>
      </c>
      <c r="N134" s="156"/>
      <c r="O134" s="149">
        <v>29</v>
      </c>
      <c r="P134" s="148" t="s">
        <v>7</v>
      </c>
      <c r="Q134" s="103" t="s">
        <v>20</v>
      </c>
      <c r="R134" s="103">
        <v>1933</v>
      </c>
      <c r="S134" s="103">
        <v>2155</v>
      </c>
      <c r="T134" s="93" t="s">
        <v>20</v>
      </c>
    </row>
    <row r="135" spans="1:20" s="9" customFormat="1" ht="11.25" customHeight="1" x14ac:dyDescent="0.15">
      <c r="A135" s="149">
        <v>30</v>
      </c>
      <c r="B135" s="100" t="s">
        <v>10</v>
      </c>
      <c r="C135" s="103">
        <v>710</v>
      </c>
      <c r="D135" s="103">
        <v>1756</v>
      </c>
      <c r="E135" s="103">
        <v>2104</v>
      </c>
      <c r="F135" s="93" t="s">
        <v>20</v>
      </c>
      <c r="G135" s="156"/>
      <c r="H135" s="149">
        <v>30</v>
      </c>
      <c r="I135" s="100" t="s">
        <v>6</v>
      </c>
      <c r="J135" s="92" t="s">
        <v>20</v>
      </c>
      <c r="K135" s="106">
        <v>2017</v>
      </c>
      <c r="L135" s="106">
        <v>2159</v>
      </c>
      <c r="M135" s="93" t="s">
        <v>20</v>
      </c>
      <c r="N135" s="156"/>
      <c r="O135" s="149">
        <v>30</v>
      </c>
      <c r="P135" s="148" t="s">
        <v>8</v>
      </c>
      <c r="Q135" s="103" t="s">
        <v>20</v>
      </c>
      <c r="R135" s="103">
        <v>2110</v>
      </c>
      <c r="S135" s="103">
        <v>2200</v>
      </c>
      <c r="T135" s="93" t="s">
        <v>20</v>
      </c>
    </row>
    <row r="136" spans="1:20" s="9" customFormat="1" ht="11.25" customHeight="1" thickBot="1" x14ac:dyDescent="0.2">
      <c r="A136" s="213">
        <v>31</v>
      </c>
      <c r="B136" s="214" t="s">
        <v>11</v>
      </c>
      <c r="C136" s="196" t="s">
        <v>20</v>
      </c>
      <c r="D136" s="215">
        <v>1907</v>
      </c>
      <c r="E136" s="215">
        <v>2131</v>
      </c>
      <c r="F136" s="197" t="s">
        <v>20</v>
      </c>
      <c r="G136" s="156"/>
      <c r="H136" s="151"/>
      <c r="I136" s="110"/>
      <c r="J136" s="124"/>
      <c r="K136" s="124"/>
      <c r="L136" s="124"/>
      <c r="M136" s="125"/>
      <c r="N136" s="156"/>
      <c r="O136" s="151">
        <v>31</v>
      </c>
      <c r="P136" s="98" t="s">
        <v>9</v>
      </c>
      <c r="Q136" s="94" t="s">
        <v>20</v>
      </c>
      <c r="R136" s="94" t="s">
        <v>20</v>
      </c>
      <c r="S136" s="94" t="s">
        <v>20</v>
      </c>
      <c r="T136" s="95" t="s">
        <v>20</v>
      </c>
    </row>
    <row r="137" spans="1:20" ht="9.9499999999999993" customHeight="1" x14ac:dyDescent="0.15">
      <c r="A137" s="12"/>
      <c r="B137" s="12"/>
      <c r="C137" s="13"/>
      <c r="D137" s="14"/>
      <c r="E137" s="13"/>
      <c r="F137" s="14"/>
      <c r="G137" s="11"/>
      <c r="H137" s="12"/>
      <c r="I137" s="12"/>
      <c r="J137" s="89"/>
      <c r="K137" s="89"/>
      <c r="L137" s="89"/>
      <c r="M137" s="89"/>
      <c r="N137" s="11"/>
      <c r="O137" s="15"/>
      <c r="P137" s="15"/>
      <c r="Q137" s="16"/>
      <c r="R137" s="17"/>
      <c r="S137" s="16"/>
      <c r="T137" s="17"/>
    </row>
    <row r="138" spans="1:20" ht="9.9499999999999993" customHeight="1" x14ac:dyDescent="0.15"/>
    <row r="139" spans="1:20" ht="9.9499999999999993" customHeight="1" x14ac:dyDescent="0.15"/>
    <row r="140" spans="1:20" ht="9.9499999999999993" customHeight="1" x14ac:dyDescent="0.15"/>
    <row r="141" spans="1:20" ht="9.9499999999999993" customHeight="1" x14ac:dyDescent="0.15"/>
    <row r="142" spans="1:20" ht="9.9499999999999993" customHeight="1" x14ac:dyDescent="0.15"/>
    <row r="143" spans="1:20" ht="9.9499999999999993" customHeight="1" x14ac:dyDescent="0.15"/>
    <row r="144" spans="1:20" ht="9.9499999999999993" customHeight="1" x14ac:dyDescent="0.15"/>
    <row r="145" ht="9.9499999999999993" customHeight="1" x14ac:dyDescent="0.15"/>
    <row r="146" ht="9.9499999999999993" customHeight="1" x14ac:dyDescent="0.15"/>
    <row r="147" ht="9.9499999999999993" customHeight="1" x14ac:dyDescent="0.15"/>
    <row r="148" ht="9.9499999999999993" customHeight="1" x14ac:dyDescent="0.15"/>
    <row r="149" ht="9.9499999999999993" customHeight="1" x14ac:dyDescent="0.15"/>
    <row r="150" ht="9.9499999999999993" customHeight="1" x14ac:dyDescent="0.15"/>
    <row r="151" ht="9.9499999999999993" customHeight="1" x14ac:dyDescent="0.15"/>
    <row r="152" ht="9.9499999999999993" customHeight="1" x14ac:dyDescent="0.15"/>
    <row r="153" ht="9.9499999999999993" customHeight="1" x14ac:dyDescent="0.15"/>
    <row r="154" ht="9.9499999999999993" customHeight="1" x14ac:dyDescent="0.15"/>
    <row r="155" ht="9.9499999999999993" customHeight="1" x14ac:dyDescent="0.15"/>
    <row r="156" ht="9.9499999999999993" customHeight="1" x14ac:dyDescent="0.15"/>
    <row r="157" ht="9.9499999999999993" customHeight="1" x14ac:dyDescent="0.15"/>
    <row r="158" ht="9.9499999999999993" customHeight="1" x14ac:dyDescent="0.15"/>
    <row r="159" ht="9.9499999999999993" customHeight="1" x14ac:dyDescent="0.15"/>
    <row r="160" ht="9.9499999999999993" customHeight="1" x14ac:dyDescent="0.15"/>
    <row r="161" ht="9.9499999999999993" customHeight="1" x14ac:dyDescent="0.15"/>
    <row r="162" ht="9.9499999999999993" customHeight="1" x14ac:dyDescent="0.15"/>
    <row r="163" ht="9.9499999999999993" customHeight="1" x14ac:dyDescent="0.15"/>
    <row r="164" ht="9.9499999999999993" customHeight="1" x14ac:dyDescent="0.15"/>
    <row r="165" ht="9.9499999999999993" customHeight="1" x14ac:dyDescent="0.15"/>
    <row r="166" ht="9.9499999999999993" customHeight="1" x14ac:dyDescent="0.15"/>
    <row r="167" ht="9.9499999999999993" customHeight="1" x14ac:dyDescent="0.15"/>
    <row r="168" ht="9.9499999999999993" customHeight="1" x14ac:dyDescent="0.15"/>
    <row r="169" ht="9.9499999999999993" customHeight="1" x14ac:dyDescent="0.15"/>
    <row r="170" ht="9.9499999999999993" customHeight="1" x14ac:dyDescent="0.15"/>
    <row r="171" ht="9.9499999999999993" customHeight="1" x14ac:dyDescent="0.15"/>
    <row r="172" ht="9.9499999999999993" customHeight="1" x14ac:dyDescent="0.15"/>
    <row r="173" ht="9.9499999999999993" customHeight="1" x14ac:dyDescent="0.15"/>
    <row r="174" ht="9.9499999999999993" customHeight="1" x14ac:dyDescent="0.15"/>
    <row r="175" ht="9.9499999999999993" customHeight="1" x14ac:dyDescent="0.15"/>
    <row r="176" ht="9.9499999999999993" customHeight="1" x14ac:dyDescent="0.15"/>
    <row r="177" ht="9.9499999999999993" customHeight="1" x14ac:dyDescent="0.15"/>
    <row r="178" ht="9.9499999999999993" customHeight="1" x14ac:dyDescent="0.15"/>
    <row r="179" ht="9.9499999999999993" customHeight="1" x14ac:dyDescent="0.15"/>
    <row r="180" ht="9.9499999999999993" customHeight="1" x14ac:dyDescent="0.15"/>
    <row r="181" ht="9.9499999999999993" customHeight="1" x14ac:dyDescent="0.15"/>
    <row r="182" ht="9.9499999999999993" customHeight="1" x14ac:dyDescent="0.15"/>
    <row r="183" ht="9.9499999999999993" customHeight="1" x14ac:dyDescent="0.15"/>
    <row r="184" ht="9.9499999999999993" customHeight="1" x14ac:dyDescent="0.15"/>
    <row r="185" ht="9.9499999999999993" customHeight="1" x14ac:dyDescent="0.15"/>
    <row r="186" ht="9.9499999999999993" customHeight="1" x14ac:dyDescent="0.15"/>
    <row r="187" ht="9.9499999999999993" customHeight="1" x14ac:dyDescent="0.15"/>
    <row r="188" ht="9.9499999999999993" customHeight="1" x14ac:dyDescent="0.15"/>
    <row r="189" ht="9.9499999999999993" customHeight="1" x14ac:dyDescent="0.15"/>
    <row r="190" ht="9.9499999999999993" customHeight="1" x14ac:dyDescent="0.15"/>
    <row r="191" ht="9.9499999999999993" customHeight="1" x14ac:dyDescent="0.15"/>
    <row r="192" ht="9.9499999999999993" customHeight="1" x14ac:dyDescent="0.15"/>
    <row r="193" ht="9.9499999999999993" customHeight="1" x14ac:dyDescent="0.15"/>
    <row r="194" ht="9.9499999999999993" customHeight="1" x14ac:dyDescent="0.15"/>
    <row r="195" ht="9.9499999999999993" customHeight="1" x14ac:dyDescent="0.15"/>
    <row r="196" ht="9.9499999999999993" customHeight="1" x14ac:dyDescent="0.15"/>
    <row r="197" ht="9.9499999999999993" customHeight="1" x14ac:dyDescent="0.15"/>
    <row r="198" ht="9.9499999999999993" customHeight="1" x14ac:dyDescent="0.15"/>
  </sheetData>
  <mergeCells count="48">
    <mergeCell ref="S104:T104"/>
    <mergeCell ref="J104:K104"/>
    <mergeCell ref="S36:T36"/>
    <mergeCell ref="H35:M35"/>
    <mergeCell ref="J36:K36"/>
    <mergeCell ref="Q70:R70"/>
    <mergeCell ref="J70:K70"/>
    <mergeCell ref="L70:M70"/>
    <mergeCell ref="Q104:R104"/>
    <mergeCell ref="L104:M104"/>
    <mergeCell ref="H69:M69"/>
    <mergeCell ref="O69:T69"/>
    <mergeCell ref="H103:M103"/>
    <mergeCell ref="A69:F69"/>
    <mergeCell ref="A103:F103"/>
    <mergeCell ref="O103:T103"/>
    <mergeCell ref="C70:D70"/>
    <mergeCell ref="E70:F70"/>
    <mergeCell ref="S70:T70"/>
    <mergeCell ref="A70:B71"/>
    <mergeCell ref="H70:I71"/>
    <mergeCell ref="O70:P71"/>
    <mergeCell ref="O1:T1"/>
    <mergeCell ref="A35:F35"/>
    <mergeCell ref="C36:D36"/>
    <mergeCell ref="E36:F36"/>
    <mergeCell ref="S2:T2"/>
    <mergeCell ref="L36:M36"/>
    <mergeCell ref="O35:T35"/>
    <mergeCell ref="Q36:R36"/>
    <mergeCell ref="A1:F1"/>
    <mergeCell ref="C2:D2"/>
    <mergeCell ref="E2:F2"/>
    <mergeCell ref="H1:M1"/>
    <mergeCell ref="J2:K2"/>
    <mergeCell ref="L2:M2"/>
    <mergeCell ref="Q2:R2"/>
    <mergeCell ref="A2:B3"/>
    <mergeCell ref="H2:I3"/>
    <mergeCell ref="O2:P3"/>
    <mergeCell ref="A36:B37"/>
    <mergeCell ref="H36:I37"/>
    <mergeCell ref="O36:P37"/>
    <mergeCell ref="A104:B105"/>
    <mergeCell ref="H104:I105"/>
    <mergeCell ref="O104:P105"/>
    <mergeCell ref="C104:D104"/>
    <mergeCell ref="E104:F104"/>
  </mergeCells>
  <phoneticPr fontId="2" type="noConversion"/>
  <printOptions horizontalCentered="1"/>
  <pageMargins left="0.15748031496062992" right="0.19685039370078741" top="0.86614173228346458" bottom="1.1023622047244095" header="0.43307086614173229" footer="0.51181102362204722"/>
  <pageSetup paperSize="9" scale="89" orientation="portrait" r:id="rId1"/>
  <headerFooter alignWithMargins="0">
    <oddHeader>&amp;C&amp;"굴림,굵게"&amp;18 2025년 제부도 바닷길 통행가능 시간표</oddHeader>
    <oddFooter>&amp;L&amp;9♠ 본 시간표는 국립해양조사원에서 제공하는 바다 갈라짐 예보 데이터를 기반으로 예측된 자료입니다. 
   어떠한 법적 효력도 가지고 있지 않음을 알려드립니다.
♠ 기상상태에 따라 바다갈라짐 발생 및 지속시간은 30분 이상 편차가 발생할 수 있습니다. 
♠ 표시된 시간은 통행이 가능한 시간입니다.  예) 09:12~ 18:38 : 9시 12분부터 18시 38분까지 통행이 가능합니다.</oddFooter>
  </headerFooter>
  <rowBreaks count="1" manualBreakCount="1">
    <brk id="68" max="1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C230-D2AF-427D-829C-59F3736A8AFB}">
  <dimension ref="A1:T130"/>
  <sheetViews>
    <sheetView view="pageLayout" zoomScale="130" zoomScaleNormal="130" zoomScaleSheetLayoutView="85" zoomScalePageLayoutView="130" workbookViewId="0">
      <selection activeCell="K52" sqref="K52"/>
    </sheetView>
  </sheetViews>
  <sheetFormatPr defaultColWidth="8.88671875" defaultRowHeight="13.5" x14ac:dyDescent="0.15"/>
  <cols>
    <col min="1" max="2" width="2.6640625" style="4" customWidth="1"/>
    <col min="3" max="3" width="6.33203125" style="5" customWidth="1"/>
    <col min="4" max="4" width="6.33203125" style="7" customWidth="1"/>
    <col min="5" max="5" width="6.33203125" style="5" customWidth="1"/>
    <col min="6" max="6" width="6.33203125" style="7" customWidth="1"/>
    <col min="7" max="7" width="1.5546875" style="3" customWidth="1"/>
    <col min="8" max="9" width="2.6640625" style="4" customWidth="1"/>
    <col min="10" max="10" width="6.33203125" style="5" customWidth="1"/>
    <col min="11" max="11" width="6.33203125" style="7" customWidth="1"/>
    <col min="12" max="12" width="6.33203125" style="5" customWidth="1"/>
    <col min="13" max="13" width="6.33203125" style="7" customWidth="1"/>
    <col min="14" max="14" width="1.5546875" style="3" customWidth="1"/>
    <col min="15" max="16" width="2.6640625" style="2" customWidth="1"/>
    <col min="17" max="17" width="6.33203125" style="6" customWidth="1"/>
    <col min="18" max="18" width="6.33203125" style="8" customWidth="1"/>
    <col min="19" max="19" width="6.33203125" style="6" customWidth="1"/>
    <col min="20" max="20" width="6.33203125" style="8" customWidth="1"/>
    <col min="21" max="16384" width="8.88671875" style="1"/>
  </cols>
  <sheetData>
    <row r="1" spans="1:20" ht="18" customHeight="1" thickBot="1" x14ac:dyDescent="0.2">
      <c r="A1" s="243" t="s">
        <v>13</v>
      </c>
      <c r="B1" s="243"/>
      <c r="C1" s="243"/>
      <c r="D1" s="243"/>
      <c r="E1" s="243"/>
      <c r="F1" s="243"/>
      <c r="G1" s="20"/>
      <c r="H1" s="243" t="s">
        <v>14</v>
      </c>
      <c r="I1" s="243"/>
      <c r="J1" s="243"/>
      <c r="K1" s="243"/>
      <c r="L1" s="243"/>
      <c r="M1" s="243"/>
      <c r="N1" s="20"/>
      <c r="O1" s="243" t="s">
        <v>15</v>
      </c>
      <c r="P1" s="243"/>
      <c r="Q1" s="243"/>
      <c r="R1" s="243"/>
      <c r="S1" s="243"/>
      <c r="T1" s="243"/>
    </row>
    <row r="2" spans="1:20" ht="11.1" customHeight="1" x14ac:dyDescent="0.15">
      <c r="A2" s="233" t="s">
        <v>0</v>
      </c>
      <c r="B2" s="240"/>
      <c r="C2" s="242" t="s">
        <v>1</v>
      </c>
      <c r="D2" s="237"/>
      <c r="E2" s="237" t="s">
        <v>2</v>
      </c>
      <c r="F2" s="238"/>
      <c r="G2" s="18"/>
      <c r="H2" s="233" t="s">
        <v>0</v>
      </c>
      <c r="I2" s="240"/>
      <c r="J2" s="242" t="s">
        <v>1</v>
      </c>
      <c r="K2" s="237"/>
      <c r="L2" s="237" t="s">
        <v>2</v>
      </c>
      <c r="M2" s="238"/>
      <c r="N2" s="18"/>
      <c r="O2" s="233" t="s">
        <v>0</v>
      </c>
      <c r="P2" s="234"/>
      <c r="Q2" s="237" t="s">
        <v>1</v>
      </c>
      <c r="R2" s="237"/>
      <c r="S2" s="237" t="s">
        <v>2</v>
      </c>
      <c r="T2" s="238"/>
    </row>
    <row r="3" spans="1:20" ht="21.75" customHeight="1" thickBot="1" x14ac:dyDescent="0.2">
      <c r="A3" s="235"/>
      <c r="B3" s="241"/>
      <c r="C3" s="21" t="s">
        <v>3</v>
      </c>
      <c r="D3" s="22" t="s">
        <v>4</v>
      </c>
      <c r="E3" s="22" t="s">
        <v>3</v>
      </c>
      <c r="F3" s="23" t="s">
        <v>4</v>
      </c>
      <c r="G3" s="18"/>
      <c r="H3" s="235"/>
      <c r="I3" s="241"/>
      <c r="J3" s="21" t="s">
        <v>3</v>
      </c>
      <c r="K3" s="22" t="s">
        <v>4</v>
      </c>
      <c r="L3" s="22" t="s">
        <v>3</v>
      </c>
      <c r="M3" s="23" t="s">
        <v>4</v>
      </c>
      <c r="N3" s="18"/>
      <c r="O3" s="235"/>
      <c r="P3" s="236"/>
      <c r="Q3" s="22" t="s">
        <v>3</v>
      </c>
      <c r="R3" s="22" t="s">
        <v>4</v>
      </c>
      <c r="S3" s="22" t="s">
        <v>3</v>
      </c>
      <c r="T3" s="23" t="s">
        <v>4</v>
      </c>
    </row>
    <row r="4" spans="1:20" s="9" customFormat="1" ht="10.5" customHeight="1" x14ac:dyDescent="0.15">
      <c r="A4" s="24">
        <v>1</v>
      </c>
      <c r="B4" s="25" t="s">
        <v>7</v>
      </c>
      <c r="C4" s="59">
        <v>0.40138888888888885</v>
      </c>
      <c r="D4" s="59" t="s">
        <v>20</v>
      </c>
      <c r="E4" s="59" t="s">
        <v>20</v>
      </c>
      <c r="F4" s="60">
        <v>0.37638888888888888</v>
      </c>
      <c r="G4" s="19"/>
      <c r="H4" s="26">
        <v>1</v>
      </c>
      <c r="I4" s="27" t="s">
        <v>10</v>
      </c>
      <c r="J4" s="51" t="s">
        <v>20</v>
      </c>
      <c r="K4" s="51" t="s">
        <v>20</v>
      </c>
      <c r="L4" s="51" t="s">
        <v>20</v>
      </c>
      <c r="M4" s="52" t="s">
        <v>20</v>
      </c>
      <c r="N4" s="19"/>
      <c r="O4" s="24">
        <v>1</v>
      </c>
      <c r="P4" s="28" t="s">
        <v>6</v>
      </c>
      <c r="Q4" s="51" t="s">
        <v>20</v>
      </c>
      <c r="R4" s="51" t="s">
        <v>20</v>
      </c>
      <c r="S4" s="51" t="s">
        <v>20</v>
      </c>
      <c r="T4" s="52" t="s">
        <v>20</v>
      </c>
    </row>
    <row r="5" spans="1:20" s="9" customFormat="1" ht="10.5" customHeight="1" x14ac:dyDescent="0.15">
      <c r="A5" s="29">
        <v>2</v>
      </c>
      <c r="B5" s="25" t="s">
        <v>8</v>
      </c>
      <c r="C5" s="51">
        <v>0.40416666666666662</v>
      </c>
      <c r="D5" s="51" t="s">
        <v>20</v>
      </c>
      <c r="E5" s="51" t="s">
        <v>20</v>
      </c>
      <c r="F5" s="52" t="s">
        <v>20</v>
      </c>
      <c r="G5" s="19"/>
      <c r="H5" s="32">
        <v>2</v>
      </c>
      <c r="I5" s="27" t="s">
        <v>11</v>
      </c>
      <c r="J5" s="51" t="s">
        <v>20</v>
      </c>
      <c r="K5" s="51" t="s">
        <v>20</v>
      </c>
      <c r="L5" s="51" t="s">
        <v>20</v>
      </c>
      <c r="M5" s="52" t="s">
        <v>20</v>
      </c>
      <c r="N5" s="19"/>
      <c r="O5" s="29">
        <v>2</v>
      </c>
      <c r="P5" s="28" t="s">
        <v>7</v>
      </c>
      <c r="Q5" s="51" t="s">
        <v>20</v>
      </c>
      <c r="R5" s="51" t="s">
        <v>20</v>
      </c>
      <c r="S5" s="51" t="s">
        <v>20</v>
      </c>
      <c r="T5" s="52" t="s">
        <v>20</v>
      </c>
    </row>
    <row r="6" spans="1:20" s="9" customFormat="1" ht="10.5" customHeight="1" x14ac:dyDescent="0.15">
      <c r="A6" s="29">
        <v>3</v>
      </c>
      <c r="B6" s="25" t="s">
        <v>9</v>
      </c>
      <c r="C6" s="51" t="s">
        <v>20</v>
      </c>
      <c r="D6" s="51" t="s">
        <v>20</v>
      </c>
      <c r="E6" s="51" t="s">
        <v>20</v>
      </c>
      <c r="F6" s="52" t="s">
        <v>20</v>
      </c>
      <c r="G6" s="19"/>
      <c r="H6" s="32">
        <v>3</v>
      </c>
      <c r="I6" s="27" t="s">
        <v>12</v>
      </c>
      <c r="J6" s="51" t="s">
        <v>20</v>
      </c>
      <c r="K6" s="51" t="s">
        <v>20</v>
      </c>
      <c r="L6" s="51" t="s">
        <v>20</v>
      </c>
      <c r="M6" s="52" t="s">
        <v>20</v>
      </c>
      <c r="N6" s="19"/>
      <c r="O6" s="29">
        <v>3</v>
      </c>
      <c r="P6" s="28" t="s">
        <v>8</v>
      </c>
      <c r="Q6" s="51" t="s">
        <v>20</v>
      </c>
      <c r="R6" s="51" t="s">
        <v>20</v>
      </c>
      <c r="S6" s="51" t="s">
        <v>20</v>
      </c>
      <c r="T6" s="52" t="s">
        <v>20</v>
      </c>
    </row>
    <row r="7" spans="1:20" s="9" customFormat="1" ht="10.5" customHeight="1" x14ac:dyDescent="0.15">
      <c r="A7" s="29">
        <v>4</v>
      </c>
      <c r="B7" s="25" t="s">
        <v>10</v>
      </c>
      <c r="C7" s="51" t="s">
        <v>20</v>
      </c>
      <c r="D7" s="51" t="s">
        <v>20</v>
      </c>
      <c r="E7" s="51" t="s">
        <v>20</v>
      </c>
      <c r="F7" s="52" t="s">
        <v>20</v>
      </c>
      <c r="G7" s="19"/>
      <c r="H7" s="32">
        <v>4</v>
      </c>
      <c r="I7" s="27" t="s">
        <v>6</v>
      </c>
      <c r="J7" s="51" t="s">
        <v>20</v>
      </c>
      <c r="K7" s="51" t="s">
        <v>20</v>
      </c>
      <c r="L7" s="51" t="s">
        <v>20</v>
      </c>
      <c r="M7" s="52" t="s">
        <v>20</v>
      </c>
      <c r="N7" s="19"/>
      <c r="O7" s="29">
        <v>4</v>
      </c>
      <c r="P7" s="28" t="s">
        <v>9</v>
      </c>
      <c r="Q7" s="51" t="s">
        <v>20</v>
      </c>
      <c r="R7" s="51" t="s">
        <v>20</v>
      </c>
      <c r="S7" s="51" t="s">
        <v>20</v>
      </c>
      <c r="T7" s="52" t="s">
        <v>20</v>
      </c>
    </row>
    <row r="8" spans="1:20" s="9" customFormat="1" ht="10.5" customHeight="1" x14ac:dyDescent="0.15">
      <c r="A8" s="29">
        <v>5</v>
      </c>
      <c r="B8" s="25" t="s">
        <v>11</v>
      </c>
      <c r="C8" s="51" t="s">
        <v>20</v>
      </c>
      <c r="D8" s="51" t="s">
        <v>20</v>
      </c>
      <c r="E8" s="51" t="s">
        <v>20</v>
      </c>
      <c r="F8" s="52" t="s">
        <v>20</v>
      </c>
      <c r="G8" s="19"/>
      <c r="H8" s="32">
        <v>5</v>
      </c>
      <c r="I8" s="27" t="s">
        <v>7</v>
      </c>
      <c r="J8" s="51" t="s">
        <v>20</v>
      </c>
      <c r="K8" s="51" t="s">
        <v>20</v>
      </c>
      <c r="L8" s="51" t="s">
        <v>20</v>
      </c>
      <c r="M8" s="52" t="s">
        <v>20</v>
      </c>
      <c r="N8" s="19"/>
      <c r="O8" s="29">
        <v>5</v>
      </c>
      <c r="P8" s="28" t="s">
        <v>10</v>
      </c>
      <c r="Q8" s="51" t="s">
        <v>20</v>
      </c>
      <c r="R8" s="51" t="s">
        <v>20</v>
      </c>
      <c r="S8" s="51" t="s">
        <v>20</v>
      </c>
      <c r="T8" s="52">
        <v>9.9999999999999992E-2</v>
      </c>
    </row>
    <row r="9" spans="1:20" s="9" customFormat="1" ht="10.5" customHeight="1" x14ac:dyDescent="0.15">
      <c r="A9" s="29">
        <v>6</v>
      </c>
      <c r="B9" s="25" t="s">
        <v>12</v>
      </c>
      <c r="C9" s="51" t="s">
        <v>20</v>
      </c>
      <c r="D9" s="51" t="s">
        <v>20</v>
      </c>
      <c r="E9" s="51" t="s">
        <v>20</v>
      </c>
      <c r="F9" s="52" t="s">
        <v>20</v>
      </c>
      <c r="G9" s="19"/>
      <c r="H9" s="32">
        <v>6</v>
      </c>
      <c r="I9" s="27" t="s">
        <v>8</v>
      </c>
      <c r="J9" s="51" t="s">
        <v>20</v>
      </c>
      <c r="K9" s="51" t="s">
        <v>20</v>
      </c>
      <c r="L9" s="54" t="s">
        <v>21</v>
      </c>
      <c r="M9" s="56">
        <v>0.11527777777777777</v>
      </c>
      <c r="N9" s="19"/>
      <c r="O9" s="29">
        <v>6</v>
      </c>
      <c r="P9" s="28" t="s">
        <v>11</v>
      </c>
      <c r="Q9" s="51">
        <v>0.21944444444444444</v>
      </c>
      <c r="R9" s="63">
        <v>0.62847222222222221</v>
      </c>
      <c r="S9" s="63">
        <v>0.70624999999999993</v>
      </c>
      <c r="T9" s="52">
        <v>0.11319444444444444</v>
      </c>
    </row>
    <row r="10" spans="1:20" s="9" customFormat="1" ht="10.5" customHeight="1" x14ac:dyDescent="0.15">
      <c r="A10" s="29">
        <v>7</v>
      </c>
      <c r="B10" s="25" t="s">
        <v>6</v>
      </c>
      <c r="C10" s="51" t="s">
        <v>20</v>
      </c>
      <c r="D10" s="51" t="s">
        <v>20</v>
      </c>
      <c r="E10" s="51" t="s">
        <v>20</v>
      </c>
      <c r="F10" s="52" t="s">
        <v>20</v>
      </c>
      <c r="G10" s="19"/>
      <c r="H10" s="32">
        <v>7</v>
      </c>
      <c r="I10" s="27" t="s">
        <v>9</v>
      </c>
      <c r="J10" s="54">
        <v>0.17500000000000002</v>
      </c>
      <c r="K10" s="51" t="s">
        <v>20</v>
      </c>
      <c r="L10" s="54" t="s">
        <v>21</v>
      </c>
      <c r="M10" s="56">
        <v>0.1111111111111111</v>
      </c>
      <c r="N10" s="19"/>
      <c r="O10" s="29">
        <v>7</v>
      </c>
      <c r="P10" s="28" t="s">
        <v>12</v>
      </c>
      <c r="Q10" s="51">
        <v>0.25</v>
      </c>
      <c r="R10" s="51">
        <v>0.63611111111111118</v>
      </c>
      <c r="S10" s="51">
        <v>0.73263888888888884</v>
      </c>
      <c r="T10" s="52">
        <v>0.12916666666666668</v>
      </c>
    </row>
    <row r="11" spans="1:20" s="9" customFormat="1" ht="10.5" customHeight="1" x14ac:dyDescent="0.15">
      <c r="A11" s="29">
        <v>8</v>
      </c>
      <c r="B11" s="25" t="s">
        <v>7</v>
      </c>
      <c r="C11" s="51" t="s">
        <v>20</v>
      </c>
      <c r="D11" s="51" t="s">
        <v>20</v>
      </c>
      <c r="E11" s="51" t="s">
        <v>20</v>
      </c>
      <c r="F11" s="52">
        <v>0.11458333333333333</v>
      </c>
      <c r="G11" s="19"/>
      <c r="H11" s="32">
        <v>8</v>
      </c>
      <c r="I11" s="27" t="s">
        <v>10</v>
      </c>
      <c r="J11" s="54">
        <v>0.23194444444444443</v>
      </c>
      <c r="K11" s="51" t="s">
        <v>20</v>
      </c>
      <c r="L11" s="54" t="s">
        <v>21</v>
      </c>
      <c r="M11" s="56">
        <v>0.12986111111111112</v>
      </c>
      <c r="N11" s="19"/>
      <c r="O11" s="29">
        <v>8</v>
      </c>
      <c r="P11" s="28" t="s">
        <v>6</v>
      </c>
      <c r="Q11" s="51">
        <v>0.28125</v>
      </c>
      <c r="R11" s="51">
        <v>0.6479166666666667</v>
      </c>
      <c r="S11" s="51">
        <v>0.77708333333333324</v>
      </c>
      <c r="T11" s="52">
        <v>0.15555555555555556</v>
      </c>
    </row>
    <row r="12" spans="1:20" s="9" customFormat="1" ht="10.5" customHeight="1" x14ac:dyDescent="0.15">
      <c r="A12" s="29">
        <v>9</v>
      </c>
      <c r="B12" s="25" t="s">
        <v>8</v>
      </c>
      <c r="C12" s="51">
        <v>0.19791666666666666</v>
      </c>
      <c r="D12" s="51" t="s">
        <v>20</v>
      </c>
      <c r="E12" s="51" t="s">
        <v>20</v>
      </c>
      <c r="F12" s="52">
        <v>0.12708333333333333</v>
      </c>
      <c r="G12" s="19"/>
      <c r="H12" s="32">
        <v>9</v>
      </c>
      <c r="I12" s="27" t="s">
        <v>11</v>
      </c>
      <c r="J12" s="54">
        <v>0.26666666666666666</v>
      </c>
      <c r="K12" s="55">
        <v>0.67222222222222217</v>
      </c>
      <c r="L12" s="55">
        <v>0.72499999999999998</v>
      </c>
      <c r="M12" s="56">
        <v>0.15</v>
      </c>
      <c r="N12" s="19"/>
      <c r="O12" s="29">
        <v>9</v>
      </c>
      <c r="P12" s="28" t="s">
        <v>7</v>
      </c>
      <c r="Q12" s="51">
        <v>0.3034722222222222</v>
      </c>
      <c r="R12" s="51">
        <v>0.66875000000000007</v>
      </c>
      <c r="S12" s="51">
        <v>0.81180555555555556</v>
      </c>
      <c r="T12" s="52">
        <v>0.17569444444444446</v>
      </c>
    </row>
    <row r="13" spans="1:20" s="9" customFormat="1" ht="10.5" customHeight="1" x14ac:dyDescent="0.15">
      <c r="A13" s="29">
        <v>10</v>
      </c>
      <c r="B13" s="25" t="s">
        <v>9</v>
      </c>
      <c r="C13" s="51">
        <v>0.23819444444444446</v>
      </c>
      <c r="D13" s="51" t="s">
        <v>20</v>
      </c>
      <c r="E13" s="51" t="s">
        <v>20</v>
      </c>
      <c r="F13" s="52">
        <v>0.1388888888888889</v>
      </c>
      <c r="G13" s="19"/>
      <c r="H13" s="32">
        <v>10</v>
      </c>
      <c r="I13" s="27" t="s">
        <v>12</v>
      </c>
      <c r="J13" s="54">
        <v>0.29722222222222222</v>
      </c>
      <c r="K13" s="55">
        <v>0.68125000000000002</v>
      </c>
      <c r="L13" s="55">
        <v>0.76944444444444438</v>
      </c>
      <c r="M13" s="56">
        <v>0.17222222222222225</v>
      </c>
      <c r="N13" s="19"/>
      <c r="O13" s="29">
        <v>10</v>
      </c>
      <c r="P13" s="28" t="s">
        <v>8</v>
      </c>
      <c r="Q13" s="51">
        <v>0.32916666666666666</v>
      </c>
      <c r="R13" s="51">
        <v>0.69374999999999998</v>
      </c>
      <c r="S13" s="51">
        <v>0.84027777777777779</v>
      </c>
      <c r="T13" s="52">
        <v>0.20833333333333334</v>
      </c>
    </row>
    <row r="14" spans="1:20" s="9" customFormat="1" ht="10.5" customHeight="1" x14ac:dyDescent="0.15">
      <c r="A14" s="29">
        <v>11</v>
      </c>
      <c r="B14" s="25" t="s">
        <v>10</v>
      </c>
      <c r="C14" s="51">
        <v>0.27916666666666667</v>
      </c>
      <c r="D14" s="63">
        <v>0.70694444444444438</v>
      </c>
      <c r="E14" s="63">
        <v>0.73055555555555562</v>
      </c>
      <c r="F14" s="52">
        <v>0.1673611111111111</v>
      </c>
      <c r="G14" s="19"/>
      <c r="H14" s="32">
        <v>11</v>
      </c>
      <c r="I14" s="27" t="s">
        <v>6</v>
      </c>
      <c r="J14" s="54">
        <v>0.32500000000000001</v>
      </c>
      <c r="K14" s="55">
        <v>0.69791666666666663</v>
      </c>
      <c r="L14" s="55">
        <v>0.80833333333333324</v>
      </c>
      <c r="M14" s="56">
        <v>0.19583333333333333</v>
      </c>
      <c r="N14" s="19"/>
      <c r="O14" s="29">
        <v>11</v>
      </c>
      <c r="P14" s="28" t="s">
        <v>9</v>
      </c>
      <c r="Q14" s="51">
        <v>0.34652777777777777</v>
      </c>
      <c r="R14" s="51">
        <v>0.71875</v>
      </c>
      <c r="S14" s="51">
        <v>0.87013888888888891</v>
      </c>
      <c r="T14" s="52">
        <v>0.23541666666666669</v>
      </c>
    </row>
    <row r="15" spans="1:20" s="9" customFormat="1" ht="10.5" customHeight="1" x14ac:dyDescent="0.15">
      <c r="A15" s="29">
        <v>12</v>
      </c>
      <c r="B15" s="25" t="s">
        <v>11</v>
      </c>
      <c r="C15" s="51">
        <v>0.31041666666666667</v>
      </c>
      <c r="D15" s="51">
        <v>0.72291666666666676</v>
      </c>
      <c r="E15" s="51">
        <v>0.74722222222222223</v>
      </c>
      <c r="F15" s="52">
        <v>0.19236111111111112</v>
      </c>
      <c r="G15" s="19"/>
      <c r="H15" s="32">
        <v>12</v>
      </c>
      <c r="I15" s="27" t="s">
        <v>7</v>
      </c>
      <c r="J15" s="54">
        <v>0.34791666666666665</v>
      </c>
      <c r="K15" s="55">
        <v>0.71875</v>
      </c>
      <c r="L15" s="55">
        <v>0.84305555555555556</v>
      </c>
      <c r="M15" s="56">
        <v>0.21875</v>
      </c>
      <c r="N15" s="19"/>
      <c r="O15" s="29">
        <v>12</v>
      </c>
      <c r="P15" s="28" t="s">
        <v>10</v>
      </c>
      <c r="Q15" s="51">
        <v>0.3611111111111111</v>
      </c>
      <c r="R15" s="51">
        <v>0.74861111111111101</v>
      </c>
      <c r="S15" s="51">
        <v>0.89236111111111116</v>
      </c>
      <c r="T15" s="52">
        <v>0.27569444444444446</v>
      </c>
    </row>
    <row r="16" spans="1:20" s="9" customFormat="1" ht="10.5" customHeight="1" x14ac:dyDescent="0.15">
      <c r="A16" s="29">
        <v>13</v>
      </c>
      <c r="B16" s="25" t="s">
        <v>12</v>
      </c>
      <c r="C16" s="51">
        <v>0.33680555555555558</v>
      </c>
      <c r="D16" s="51">
        <v>0.7368055555555556</v>
      </c>
      <c r="E16" s="51">
        <v>0.7895833333333333</v>
      </c>
      <c r="F16" s="52">
        <v>0.21180555555555555</v>
      </c>
      <c r="G16" s="19"/>
      <c r="H16" s="32">
        <v>13</v>
      </c>
      <c r="I16" s="27" t="s">
        <v>8</v>
      </c>
      <c r="J16" s="54">
        <v>0.3743055555555555</v>
      </c>
      <c r="K16" s="55">
        <v>0.73958333333333337</v>
      </c>
      <c r="L16" s="55">
        <v>0.8666666666666667</v>
      </c>
      <c r="M16" s="56">
        <v>0.25</v>
      </c>
      <c r="N16" s="19"/>
      <c r="O16" s="29">
        <v>13</v>
      </c>
      <c r="P16" s="28" t="s">
        <v>11</v>
      </c>
      <c r="Q16" s="51">
        <v>0.36944444444444446</v>
      </c>
      <c r="R16" s="51">
        <v>0.79999999999999993</v>
      </c>
      <c r="S16" s="51">
        <v>0.90625</v>
      </c>
      <c r="T16" s="52" t="s">
        <v>20</v>
      </c>
    </row>
    <row r="17" spans="1:20" s="9" customFormat="1" ht="10.5" customHeight="1" x14ac:dyDescent="0.15">
      <c r="A17" s="29">
        <v>14</v>
      </c>
      <c r="B17" s="25" t="s">
        <v>6</v>
      </c>
      <c r="C17" s="51">
        <v>0.35972222222222222</v>
      </c>
      <c r="D17" s="51">
        <v>0.7583333333333333</v>
      </c>
      <c r="E17" s="51">
        <v>0.81736111111111109</v>
      </c>
      <c r="F17" s="52">
        <v>0.23611111111111113</v>
      </c>
      <c r="G17" s="19"/>
      <c r="H17" s="32">
        <v>14</v>
      </c>
      <c r="I17" s="27" t="s">
        <v>9</v>
      </c>
      <c r="J17" s="54">
        <v>0.39027777777777778</v>
      </c>
      <c r="K17" s="55">
        <v>0.78333333333333333</v>
      </c>
      <c r="L17" s="55">
        <v>0.89236111111111116</v>
      </c>
      <c r="M17" s="56">
        <v>0.29444444444444445</v>
      </c>
      <c r="N17" s="19"/>
      <c r="O17" s="29">
        <v>14</v>
      </c>
      <c r="P17" s="28" t="s">
        <v>12</v>
      </c>
      <c r="Q17" s="51" t="s">
        <v>20</v>
      </c>
      <c r="R17" s="63">
        <v>0.85555555555555562</v>
      </c>
      <c r="S17" s="63">
        <v>0.92083333333333339</v>
      </c>
      <c r="T17" s="52" t="s">
        <v>20</v>
      </c>
    </row>
    <row r="18" spans="1:20" s="9" customFormat="1" ht="10.5" customHeight="1" x14ac:dyDescent="0.15">
      <c r="A18" s="29">
        <v>15</v>
      </c>
      <c r="B18" s="25" t="s">
        <v>7</v>
      </c>
      <c r="C18" s="51">
        <v>0.38263888888888892</v>
      </c>
      <c r="D18" s="51">
        <v>0.78263888888888899</v>
      </c>
      <c r="E18" s="51">
        <v>0.85416666666666663</v>
      </c>
      <c r="F18" s="52">
        <v>0.26944444444444443</v>
      </c>
      <c r="G18" s="19"/>
      <c r="H18" s="32">
        <v>15</v>
      </c>
      <c r="I18" s="27" t="s">
        <v>10</v>
      </c>
      <c r="J18" s="54">
        <v>0.39027777777777778</v>
      </c>
      <c r="K18" s="55">
        <v>0.81944444444444453</v>
      </c>
      <c r="L18" s="55">
        <v>0.9159722222222223</v>
      </c>
      <c r="M18" s="67" t="s">
        <v>21</v>
      </c>
      <c r="N18" s="19"/>
      <c r="O18" s="29">
        <v>15</v>
      </c>
      <c r="P18" s="28" t="s">
        <v>6</v>
      </c>
      <c r="Q18" s="51" t="s">
        <v>20</v>
      </c>
      <c r="R18" s="51" t="s">
        <v>20</v>
      </c>
      <c r="S18" s="51" t="s">
        <v>20</v>
      </c>
      <c r="T18" s="52" t="s">
        <v>20</v>
      </c>
    </row>
    <row r="19" spans="1:20" s="9" customFormat="1" ht="10.5" customHeight="1" x14ac:dyDescent="0.15">
      <c r="A19" s="29">
        <v>16</v>
      </c>
      <c r="B19" s="25" t="s">
        <v>8</v>
      </c>
      <c r="C19" s="51">
        <v>0.40763888888888888</v>
      </c>
      <c r="D19" s="51">
        <v>0.79861111111111116</v>
      </c>
      <c r="E19" s="51">
        <v>0.9</v>
      </c>
      <c r="F19" s="52">
        <v>0.29722222222222222</v>
      </c>
      <c r="G19" s="19"/>
      <c r="H19" s="32">
        <v>16</v>
      </c>
      <c r="I19" s="27" t="s">
        <v>11</v>
      </c>
      <c r="J19" s="68" t="s">
        <v>21</v>
      </c>
      <c r="K19" s="55">
        <v>0.8847222222222223</v>
      </c>
      <c r="L19" s="55">
        <v>0.92638888888888893</v>
      </c>
      <c r="M19" s="56" t="s">
        <v>21</v>
      </c>
      <c r="N19" s="19"/>
      <c r="O19" s="29">
        <v>16</v>
      </c>
      <c r="P19" s="28" t="s">
        <v>7</v>
      </c>
      <c r="Q19" s="51" t="s">
        <v>20</v>
      </c>
      <c r="R19" s="51" t="s">
        <v>20</v>
      </c>
      <c r="S19" s="51" t="s">
        <v>20</v>
      </c>
      <c r="T19" s="52" t="s">
        <v>20</v>
      </c>
    </row>
    <row r="20" spans="1:20" s="9" customFormat="1" ht="10.5" customHeight="1" x14ac:dyDescent="0.15">
      <c r="A20" s="29">
        <v>17</v>
      </c>
      <c r="B20" s="25" t="s">
        <v>9</v>
      </c>
      <c r="C20" s="51">
        <v>0.42152777777777778</v>
      </c>
      <c r="D20" s="51">
        <v>0.86249999999999993</v>
      </c>
      <c r="E20" s="51">
        <v>0.90486111111111101</v>
      </c>
      <c r="F20" s="52">
        <v>0.36180555555555555</v>
      </c>
      <c r="G20" s="19"/>
      <c r="H20" s="32">
        <v>17</v>
      </c>
      <c r="I20" s="27" t="s">
        <v>12</v>
      </c>
      <c r="J20" s="51" t="s">
        <v>20</v>
      </c>
      <c r="K20" s="51" t="s">
        <v>20</v>
      </c>
      <c r="L20" s="51" t="s">
        <v>20</v>
      </c>
      <c r="M20" s="52" t="s">
        <v>20</v>
      </c>
      <c r="N20" s="19"/>
      <c r="O20" s="29">
        <v>17</v>
      </c>
      <c r="P20" s="28" t="s">
        <v>8</v>
      </c>
      <c r="Q20" s="51" t="s">
        <v>20</v>
      </c>
      <c r="R20" s="51" t="s">
        <v>20</v>
      </c>
      <c r="S20" s="51" t="s">
        <v>20</v>
      </c>
      <c r="T20" s="52" t="s">
        <v>20</v>
      </c>
    </row>
    <row r="21" spans="1:20" s="9" customFormat="1" ht="10.5" customHeight="1" x14ac:dyDescent="0.15">
      <c r="A21" s="29">
        <v>18</v>
      </c>
      <c r="B21" s="25" t="s">
        <v>10</v>
      </c>
      <c r="C21" s="51">
        <v>0.42222222222222222</v>
      </c>
      <c r="D21" s="51" t="s">
        <v>20</v>
      </c>
      <c r="E21" s="51" t="s">
        <v>20</v>
      </c>
      <c r="F21" s="52" t="s">
        <v>20</v>
      </c>
      <c r="G21" s="19"/>
      <c r="H21" s="32">
        <v>18</v>
      </c>
      <c r="I21" s="27" t="s">
        <v>6</v>
      </c>
      <c r="J21" s="51" t="s">
        <v>20</v>
      </c>
      <c r="K21" s="51" t="s">
        <v>20</v>
      </c>
      <c r="L21" s="51" t="s">
        <v>20</v>
      </c>
      <c r="M21" s="52" t="s">
        <v>20</v>
      </c>
      <c r="N21" s="19"/>
      <c r="O21" s="29">
        <v>18</v>
      </c>
      <c r="P21" s="28" t="s">
        <v>9</v>
      </c>
      <c r="Q21" s="51" t="s">
        <v>20</v>
      </c>
      <c r="R21" s="51" t="s">
        <v>20</v>
      </c>
      <c r="S21" s="51" t="s">
        <v>20</v>
      </c>
      <c r="T21" s="52">
        <v>7.8472222222222221E-2</v>
      </c>
    </row>
    <row r="22" spans="1:20" s="9" customFormat="1" ht="10.5" customHeight="1" x14ac:dyDescent="0.15">
      <c r="A22" s="29">
        <v>19</v>
      </c>
      <c r="B22" s="25" t="s">
        <v>11</v>
      </c>
      <c r="C22" s="51" t="s">
        <v>20</v>
      </c>
      <c r="D22" s="51" t="s">
        <v>20</v>
      </c>
      <c r="E22" s="51" t="s">
        <v>20</v>
      </c>
      <c r="F22" s="52" t="s">
        <v>20</v>
      </c>
      <c r="G22" s="19"/>
      <c r="H22" s="32">
        <v>19</v>
      </c>
      <c r="I22" s="27" t="s">
        <v>7</v>
      </c>
      <c r="J22" s="51" t="s">
        <v>20</v>
      </c>
      <c r="K22" s="51" t="s">
        <v>20</v>
      </c>
      <c r="L22" s="51" t="s">
        <v>20</v>
      </c>
      <c r="M22" s="52" t="s">
        <v>20</v>
      </c>
      <c r="N22" s="19"/>
      <c r="O22" s="29">
        <v>19</v>
      </c>
      <c r="P22" s="28" t="s">
        <v>10</v>
      </c>
      <c r="Q22" s="51">
        <v>0.17500000000000002</v>
      </c>
      <c r="R22" s="51" t="s">
        <v>20</v>
      </c>
      <c r="S22" s="51" t="s">
        <v>20</v>
      </c>
      <c r="T22" s="52">
        <v>8.4027777777777771E-2</v>
      </c>
    </row>
    <row r="23" spans="1:20" s="9" customFormat="1" ht="10.5" customHeight="1" x14ac:dyDescent="0.15">
      <c r="A23" s="29">
        <v>20</v>
      </c>
      <c r="B23" s="25" t="s">
        <v>12</v>
      </c>
      <c r="C23" s="51" t="s">
        <v>20</v>
      </c>
      <c r="D23" s="51" t="s">
        <v>20</v>
      </c>
      <c r="E23" s="51" t="s">
        <v>20</v>
      </c>
      <c r="F23" s="52" t="s">
        <v>20</v>
      </c>
      <c r="G23" s="19"/>
      <c r="H23" s="32">
        <v>20</v>
      </c>
      <c r="I23" s="27" t="s">
        <v>8</v>
      </c>
      <c r="J23" s="51" t="s">
        <v>20</v>
      </c>
      <c r="K23" s="51" t="s">
        <v>20</v>
      </c>
      <c r="L23" s="55" t="s">
        <v>21</v>
      </c>
      <c r="M23" s="56">
        <v>8.1250000000000003E-2</v>
      </c>
      <c r="N23" s="19"/>
      <c r="O23" s="29">
        <v>20</v>
      </c>
      <c r="P23" s="28" t="s">
        <v>11</v>
      </c>
      <c r="Q23" s="51">
        <v>0.21944444444444444</v>
      </c>
      <c r="R23" s="51">
        <v>0.63888888888888895</v>
      </c>
      <c r="S23" s="51">
        <v>0.69097222222222221</v>
      </c>
      <c r="T23" s="52">
        <v>0.12152777777777778</v>
      </c>
    </row>
    <row r="24" spans="1:20" s="9" customFormat="1" ht="10.5" customHeight="1" x14ac:dyDescent="0.15">
      <c r="A24" s="29">
        <v>21</v>
      </c>
      <c r="B24" s="25" t="s">
        <v>6</v>
      </c>
      <c r="C24" s="51" t="s">
        <v>20</v>
      </c>
      <c r="D24" s="51" t="s">
        <v>20</v>
      </c>
      <c r="E24" s="51" t="s">
        <v>20</v>
      </c>
      <c r="F24" s="52">
        <v>5.4166666666666669E-2</v>
      </c>
      <c r="G24" s="19"/>
      <c r="H24" s="32">
        <v>21</v>
      </c>
      <c r="I24" s="27" t="s">
        <v>9</v>
      </c>
      <c r="J24" s="54">
        <v>0.1875</v>
      </c>
      <c r="K24" s="51" t="s">
        <v>20</v>
      </c>
      <c r="L24" s="55" t="s">
        <v>21</v>
      </c>
      <c r="M24" s="56">
        <v>0.10416666666666667</v>
      </c>
      <c r="N24" s="19"/>
      <c r="O24" s="29">
        <v>21</v>
      </c>
      <c r="P24" s="28" t="s">
        <v>12</v>
      </c>
      <c r="Q24" s="51">
        <v>0.24305555555555555</v>
      </c>
      <c r="R24" s="51">
        <v>0.63402777777777775</v>
      </c>
      <c r="S24" s="51">
        <v>0.74305555555555547</v>
      </c>
      <c r="T24" s="52">
        <v>0.13263888888888889</v>
      </c>
    </row>
    <row r="25" spans="1:20" s="9" customFormat="1" ht="10.5" customHeight="1" x14ac:dyDescent="0.15">
      <c r="A25" s="29">
        <v>22</v>
      </c>
      <c r="B25" s="25" t="s">
        <v>7</v>
      </c>
      <c r="C25" s="51">
        <v>0.12847222222222224</v>
      </c>
      <c r="D25" s="51" t="s">
        <v>20</v>
      </c>
      <c r="E25" s="51" t="s">
        <v>20</v>
      </c>
      <c r="F25" s="52">
        <v>7.9861111111111105E-2</v>
      </c>
      <c r="G25" s="19"/>
      <c r="H25" s="32">
        <v>22</v>
      </c>
      <c r="I25" s="27" t="s">
        <v>10</v>
      </c>
      <c r="J25" s="54">
        <v>0.23333333333333331</v>
      </c>
      <c r="K25" s="55">
        <v>0.64513888888888882</v>
      </c>
      <c r="L25" s="55">
        <v>0.69791666666666663</v>
      </c>
      <c r="M25" s="56">
        <v>0.12916666666666668</v>
      </c>
      <c r="N25" s="19"/>
      <c r="O25" s="29">
        <v>22</v>
      </c>
      <c r="P25" s="28" t="s">
        <v>6</v>
      </c>
      <c r="Q25" s="51">
        <v>0.27430555555555552</v>
      </c>
      <c r="R25" s="51">
        <v>0.64722222222222225</v>
      </c>
      <c r="S25" s="51">
        <v>0.78333333333333333</v>
      </c>
      <c r="T25" s="52">
        <v>0.16111111111111112</v>
      </c>
    </row>
    <row r="26" spans="1:20" s="9" customFormat="1" ht="10.5" customHeight="1" x14ac:dyDescent="0.15">
      <c r="A26" s="29">
        <v>23</v>
      </c>
      <c r="B26" s="25" t="s">
        <v>8</v>
      </c>
      <c r="C26" s="51">
        <v>0.19583333333333333</v>
      </c>
      <c r="D26" s="51" t="s">
        <v>20</v>
      </c>
      <c r="E26" s="51" t="s">
        <v>20</v>
      </c>
      <c r="F26" s="52">
        <v>0.10625</v>
      </c>
      <c r="G26" s="19"/>
      <c r="H26" s="32">
        <v>23</v>
      </c>
      <c r="I26" s="27" t="s">
        <v>11</v>
      </c>
      <c r="J26" s="54">
        <v>0.27083333333333331</v>
      </c>
      <c r="K26" s="55">
        <v>0.65069444444444446</v>
      </c>
      <c r="L26" s="55">
        <v>0.74444444444444446</v>
      </c>
      <c r="M26" s="56">
        <v>0.15208333333333332</v>
      </c>
      <c r="N26" s="19"/>
      <c r="O26" s="29">
        <v>23</v>
      </c>
      <c r="P26" s="28" t="s">
        <v>7</v>
      </c>
      <c r="Q26" s="51">
        <v>0.29236111111111113</v>
      </c>
      <c r="R26" s="51">
        <v>0.67361111111111116</v>
      </c>
      <c r="S26" s="51">
        <v>0.8041666666666667</v>
      </c>
      <c r="T26" s="52">
        <v>0.18124999999999999</v>
      </c>
    </row>
    <row r="27" spans="1:20" s="9" customFormat="1" ht="10.5" customHeight="1" x14ac:dyDescent="0.15">
      <c r="A27" s="29">
        <v>24</v>
      </c>
      <c r="B27" s="25" t="s">
        <v>9</v>
      </c>
      <c r="C27" s="51">
        <v>0.24791666666666667</v>
      </c>
      <c r="D27" s="51" t="s">
        <v>20</v>
      </c>
      <c r="E27" s="51" t="s">
        <v>20</v>
      </c>
      <c r="F27" s="52">
        <v>0.13472222222222222</v>
      </c>
      <c r="G27" s="19"/>
      <c r="H27" s="32">
        <v>24</v>
      </c>
      <c r="I27" s="27" t="s">
        <v>12</v>
      </c>
      <c r="J27" s="54">
        <v>0.29652777777777778</v>
      </c>
      <c r="K27" s="55">
        <v>0.67499999999999993</v>
      </c>
      <c r="L27" s="55">
        <v>0.78055555555555556</v>
      </c>
      <c r="M27" s="56">
        <v>0.17291666666666669</v>
      </c>
      <c r="N27" s="19"/>
      <c r="O27" s="29">
        <v>24</v>
      </c>
      <c r="P27" s="28" t="s">
        <v>8</v>
      </c>
      <c r="Q27" s="51">
        <v>0.3125</v>
      </c>
      <c r="R27" s="51">
        <v>0.68333333333333324</v>
      </c>
      <c r="S27" s="51">
        <v>0.82430555555555562</v>
      </c>
      <c r="T27" s="52">
        <v>0.2076388888888889</v>
      </c>
    </row>
    <row r="28" spans="1:20" s="9" customFormat="1" ht="10.5" customHeight="1" x14ac:dyDescent="0.15">
      <c r="A28" s="29">
        <v>25</v>
      </c>
      <c r="B28" s="25" t="s">
        <v>10</v>
      </c>
      <c r="C28" s="51">
        <v>0.28819444444444448</v>
      </c>
      <c r="D28" s="51">
        <v>0.67638888888888893</v>
      </c>
      <c r="E28" s="51">
        <v>0.75555555555555554</v>
      </c>
      <c r="F28" s="52">
        <v>0.15972222222222224</v>
      </c>
      <c r="G28" s="19"/>
      <c r="H28" s="32">
        <v>25</v>
      </c>
      <c r="I28" s="27" t="s">
        <v>6</v>
      </c>
      <c r="J28" s="54">
        <v>0.32013888888888892</v>
      </c>
      <c r="K28" s="55">
        <v>0.69027777777777777</v>
      </c>
      <c r="L28" s="55">
        <v>0.8125</v>
      </c>
      <c r="M28" s="56">
        <v>0.19444444444444445</v>
      </c>
      <c r="N28" s="19"/>
      <c r="O28" s="29">
        <v>25</v>
      </c>
      <c r="P28" s="28" t="s">
        <v>9</v>
      </c>
      <c r="Q28" s="51">
        <v>0.31319444444444444</v>
      </c>
      <c r="R28" s="51">
        <v>0.70972222222222225</v>
      </c>
      <c r="S28" s="51">
        <v>0.83472222222222225</v>
      </c>
      <c r="T28" s="52">
        <v>0.24097222222222223</v>
      </c>
    </row>
    <row r="29" spans="1:20" s="9" customFormat="1" ht="10.5" customHeight="1" x14ac:dyDescent="0.15">
      <c r="A29" s="29">
        <v>26</v>
      </c>
      <c r="B29" s="25" t="s">
        <v>11</v>
      </c>
      <c r="C29" s="51">
        <v>0.32361111111111113</v>
      </c>
      <c r="D29" s="51">
        <v>0.70138888888888884</v>
      </c>
      <c r="E29" s="51">
        <v>0.78611111111111109</v>
      </c>
      <c r="F29" s="52">
        <v>0.1875</v>
      </c>
      <c r="G29" s="19"/>
      <c r="H29" s="32">
        <v>26</v>
      </c>
      <c r="I29" s="27" t="s">
        <v>7</v>
      </c>
      <c r="J29" s="54">
        <v>0.3354166666666667</v>
      </c>
      <c r="K29" s="55">
        <v>0.71805555555555556</v>
      </c>
      <c r="L29" s="55">
        <v>0.82777777777777783</v>
      </c>
      <c r="M29" s="56">
        <v>0.22291666666666665</v>
      </c>
      <c r="N29" s="19"/>
      <c r="O29" s="29">
        <v>26</v>
      </c>
      <c r="P29" s="28" t="s">
        <v>10</v>
      </c>
      <c r="Q29" s="51">
        <v>0.31388888888888888</v>
      </c>
      <c r="R29" s="51">
        <v>0.73611111111111116</v>
      </c>
      <c r="S29" s="51">
        <v>0.84583333333333333</v>
      </c>
      <c r="T29" s="52" t="s">
        <v>20</v>
      </c>
    </row>
    <row r="30" spans="1:20" s="9" customFormat="1" ht="10.5" customHeight="1" x14ac:dyDescent="0.15">
      <c r="A30" s="29">
        <v>27</v>
      </c>
      <c r="B30" s="25" t="s">
        <v>12</v>
      </c>
      <c r="C30" s="51">
        <v>0.34722222222222227</v>
      </c>
      <c r="D30" s="51">
        <v>0.71944444444444444</v>
      </c>
      <c r="E30" s="51">
        <v>0.82152777777777775</v>
      </c>
      <c r="F30" s="52">
        <v>0.21527777777777779</v>
      </c>
      <c r="G30" s="19"/>
      <c r="H30" s="32">
        <v>27</v>
      </c>
      <c r="I30" s="27" t="s">
        <v>8</v>
      </c>
      <c r="J30" s="54">
        <v>0.34097222222222223</v>
      </c>
      <c r="K30" s="55">
        <v>0.73611111111111116</v>
      </c>
      <c r="L30" s="55">
        <v>0.85138888888888886</v>
      </c>
      <c r="M30" s="56">
        <v>0.25</v>
      </c>
      <c r="N30" s="19"/>
      <c r="O30" s="29">
        <v>27</v>
      </c>
      <c r="P30" s="28" t="s">
        <v>11</v>
      </c>
      <c r="Q30" s="51" t="s">
        <v>20</v>
      </c>
      <c r="R30" s="51">
        <v>0.7631944444444444</v>
      </c>
      <c r="S30" s="51">
        <v>0.85486111111111107</v>
      </c>
      <c r="T30" s="52" t="s">
        <v>20</v>
      </c>
    </row>
    <row r="31" spans="1:20" s="9" customFormat="1" ht="10.5" customHeight="1" x14ac:dyDescent="0.15">
      <c r="A31" s="29">
        <v>28</v>
      </c>
      <c r="B31" s="25" t="s">
        <v>6</v>
      </c>
      <c r="C31" s="51">
        <v>0.3666666666666667</v>
      </c>
      <c r="D31" s="51">
        <v>0.74791666666666667</v>
      </c>
      <c r="E31" s="51">
        <v>0.84583333333333333</v>
      </c>
      <c r="F31" s="52">
        <v>0.24305555555555555</v>
      </c>
      <c r="G31" s="19"/>
      <c r="H31" s="32">
        <v>28</v>
      </c>
      <c r="I31" s="27" t="s">
        <v>9</v>
      </c>
      <c r="J31" s="54">
        <v>0.35486111111111113</v>
      </c>
      <c r="K31" s="55">
        <v>0.76111111111111107</v>
      </c>
      <c r="L31" s="55">
        <v>0.86597222222222225</v>
      </c>
      <c r="M31" s="56">
        <v>0.27916666666666667</v>
      </c>
      <c r="N31" s="19"/>
      <c r="O31" s="29">
        <v>28</v>
      </c>
      <c r="P31" s="28" t="s">
        <v>12</v>
      </c>
      <c r="Q31" s="51" t="s">
        <v>20</v>
      </c>
      <c r="R31" s="51" t="s">
        <v>20</v>
      </c>
      <c r="S31" s="51" t="s">
        <v>20</v>
      </c>
      <c r="T31" s="52" t="s">
        <v>20</v>
      </c>
    </row>
    <row r="32" spans="1:20" s="9" customFormat="1" ht="10.5" customHeight="1" x14ac:dyDescent="0.15">
      <c r="A32" s="29">
        <v>29</v>
      </c>
      <c r="B32" s="25" t="s">
        <v>7</v>
      </c>
      <c r="C32" s="51">
        <v>0.37777777777777777</v>
      </c>
      <c r="D32" s="51">
        <v>0.7715277777777777</v>
      </c>
      <c r="E32" s="51">
        <v>0.87013888888888891</v>
      </c>
      <c r="F32" s="52">
        <v>0.2673611111111111</v>
      </c>
      <c r="G32" s="19"/>
      <c r="H32" s="32">
        <v>29</v>
      </c>
      <c r="I32" s="27" t="s">
        <v>10</v>
      </c>
      <c r="J32" s="54">
        <v>0.35138888888888892</v>
      </c>
      <c r="K32" s="55">
        <v>0.8027777777777777</v>
      </c>
      <c r="L32" s="55">
        <v>0.85833333333333339</v>
      </c>
      <c r="M32" s="56" t="s">
        <v>21</v>
      </c>
      <c r="N32" s="19"/>
      <c r="O32" s="29">
        <v>29</v>
      </c>
      <c r="P32" s="28" t="s">
        <v>6</v>
      </c>
      <c r="Q32" s="51" t="s">
        <v>20</v>
      </c>
      <c r="R32" s="51" t="s">
        <v>20</v>
      </c>
      <c r="S32" s="51" t="s">
        <v>20</v>
      </c>
      <c r="T32" s="52" t="s">
        <v>20</v>
      </c>
    </row>
    <row r="33" spans="1:20" s="9" customFormat="1" ht="10.5" customHeight="1" x14ac:dyDescent="0.15">
      <c r="A33" s="29">
        <v>30</v>
      </c>
      <c r="B33" s="25" t="s">
        <v>8</v>
      </c>
      <c r="C33" s="51">
        <v>0.39374999999999999</v>
      </c>
      <c r="D33" s="51">
        <v>0.79999999999999993</v>
      </c>
      <c r="E33" s="51">
        <v>0.8847222222222223</v>
      </c>
      <c r="F33" s="52">
        <v>0.30694444444444441</v>
      </c>
      <c r="G33" s="19"/>
      <c r="H33" s="32">
        <v>30</v>
      </c>
      <c r="I33" s="27" t="s">
        <v>11</v>
      </c>
      <c r="J33" s="51" t="s">
        <v>20</v>
      </c>
      <c r="K33" s="51" t="s">
        <v>20</v>
      </c>
      <c r="L33" s="51" t="s">
        <v>20</v>
      </c>
      <c r="M33" s="52" t="s">
        <v>20</v>
      </c>
      <c r="N33" s="19"/>
      <c r="O33" s="29">
        <v>30</v>
      </c>
      <c r="P33" s="28" t="s">
        <v>7</v>
      </c>
      <c r="Q33" s="51" t="s">
        <v>20</v>
      </c>
      <c r="R33" s="51" t="s">
        <v>20</v>
      </c>
      <c r="S33" s="51" t="s">
        <v>20</v>
      </c>
      <c r="T33" s="52" t="s">
        <v>20</v>
      </c>
    </row>
    <row r="34" spans="1:20" s="9" customFormat="1" ht="10.5" customHeight="1" thickBot="1" x14ac:dyDescent="0.2">
      <c r="A34" s="39">
        <v>31</v>
      </c>
      <c r="B34" s="25" t="s">
        <v>9</v>
      </c>
      <c r="C34" s="61">
        <v>0.39444444444444443</v>
      </c>
      <c r="D34" s="61" t="s">
        <v>20</v>
      </c>
      <c r="E34" s="61" t="s">
        <v>20</v>
      </c>
      <c r="F34" s="62" t="s">
        <v>20</v>
      </c>
      <c r="G34" s="19"/>
      <c r="H34" s="40">
        <v>31</v>
      </c>
      <c r="I34" s="41" t="s">
        <v>12</v>
      </c>
      <c r="J34" s="61" t="s">
        <v>20</v>
      </c>
      <c r="K34" s="61" t="s">
        <v>20</v>
      </c>
      <c r="L34" s="61" t="s">
        <v>20</v>
      </c>
      <c r="M34" s="62" t="s">
        <v>20</v>
      </c>
      <c r="N34" s="19"/>
      <c r="O34" s="39"/>
      <c r="P34" s="41"/>
      <c r="Q34" s="42"/>
      <c r="R34" s="42"/>
      <c r="S34" s="42"/>
      <c r="T34" s="43"/>
    </row>
    <row r="35" spans="1:20" ht="18" customHeight="1" thickBot="1" x14ac:dyDescent="0.2">
      <c r="A35" s="239" t="s">
        <v>16</v>
      </c>
      <c r="B35" s="239"/>
      <c r="C35" s="239"/>
      <c r="D35" s="239"/>
      <c r="E35" s="239"/>
      <c r="F35" s="239"/>
      <c r="G35" s="20"/>
      <c r="H35" s="239" t="s">
        <v>17</v>
      </c>
      <c r="I35" s="239"/>
      <c r="J35" s="239"/>
      <c r="K35" s="239"/>
      <c r="L35" s="239"/>
      <c r="M35" s="239"/>
      <c r="N35" s="20"/>
      <c r="O35" s="239" t="s">
        <v>18</v>
      </c>
      <c r="P35" s="239"/>
      <c r="Q35" s="239"/>
      <c r="R35" s="239"/>
      <c r="S35" s="239"/>
      <c r="T35" s="239"/>
    </row>
    <row r="36" spans="1:20" ht="12.75" customHeight="1" x14ac:dyDescent="0.15">
      <c r="A36" s="233" t="s">
        <v>0</v>
      </c>
      <c r="B36" s="234"/>
      <c r="C36" s="237" t="s">
        <v>1</v>
      </c>
      <c r="D36" s="237"/>
      <c r="E36" s="237" t="s">
        <v>2</v>
      </c>
      <c r="F36" s="238"/>
      <c r="G36" s="18"/>
      <c r="H36" s="233" t="s">
        <v>0</v>
      </c>
      <c r="I36" s="234"/>
      <c r="J36" s="237" t="s">
        <v>1</v>
      </c>
      <c r="K36" s="237"/>
      <c r="L36" s="237" t="s">
        <v>2</v>
      </c>
      <c r="M36" s="238"/>
      <c r="N36" s="18"/>
      <c r="O36" s="233" t="s">
        <v>0</v>
      </c>
      <c r="P36" s="234"/>
      <c r="Q36" s="237" t="s">
        <v>1</v>
      </c>
      <c r="R36" s="237"/>
      <c r="S36" s="237" t="s">
        <v>2</v>
      </c>
      <c r="T36" s="238"/>
    </row>
    <row r="37" spans="1:20" ht="21.75" customHeight="1" thickBot="1" x14ac:dyDescent="0.2">
      <c r="A37" s="235"/>
      <c r="B37" s="236"/>
      <c r="C37" s="22" t="s">
        <v>3</v>
      </c>
      <c r="D37" s="22" t="s">
        <v>4</v>
      </c>
      <c r="E37" s="22" t="s">
        <v>3</v>
      </c>
      <c r="F37" s="23" t="s">
        <v>4</v>
      </c>
      <c r="G37" s="18"/>
      <c r="H37" s="235"/>
      <c r="I37" s="236"/>
      <c r="J37" s="22" t="s">
        <v>3</v>
      </c>
      <c r="K37" s="22" t="s">
        <v>4</v>
      </c>
      <c r="L37" s="22" t="s">
        <v>3</v>
      </c>
      <c r="M37" s="23" t="s">
        <v>4</v>
      </c>
      <c r="N37" s="18"/>
      <c r="O37" s="235"/>
      <c r="P37" s="236"/>
      <c r="Q37" s="22" t="s">
        <v>3</v>
      </c>
      <c r="R37" s="22" t="s">
        <v>4</v>
      </c>
      <c r="S37" s="22" t="s">
        <v>3</v>
      </c>
      <c r="T37" s="23" t="s">
        <v>4</v>
      </c>
    </row>
    <row r="38" spans="1:20" s="9" customFormat="1" ht="11.25" customHeight="1" x14ac:dyDescent="0.15">
      <c r="A38" s="24">
        <v>1</v>
      </c>
      <c r="B38" s="28" t="s">
        <v>8</v>
      </c>
      <c r="C38" s="51" t="s">
        <v>20</v>
      </c>
      <c r="D38" s="51" t="s">
        <v>20</v>
      </c>
      <c r="E38" s="51" t="s">
        <v>20</v>
      </c>
      <c r="F38" s="52" t="s">
        <v>20</v>
      </c>
      <c r="G38" s="19"/>
      <c r="H38" s="24">
        <v>1</v>
      </c>
      <c r="I38" s="28" t="s">
        <v>11</v>
      </c>
      <c r="J38" s="51" t="s">
        <v>20</v>
      </c>
      <c r="K38" s="51" t="s">
        <v>20</v>
      </c>
      <c r="L38" s="51" t="s">
        <v>20</v>
      </c>
      <c r="M38" s="52" t="s">
        <v>20</v>
      </c>
      <c r="N38" s="19"/>
      <c r="O38" s="24">
        <v>1</v>
      </c>
      <c r="P38" s="27" t="s">
        <v>6</v>
      </c>
      <c r="Q38" s="44"/>
      <c r="R38" s="45"/>
      <c r="S38" s="45"/>
      <c r="T38" s="46"/>
    </row>
    <row r="39" spans="1:20" s="9" customFormat="1" ht="11.25" customHeight="1" x14ac:dyDescent="0.15">
      <c r="A39" s="29">
        <v>2</v>
      </c>
      <c r="B39" s="28" t="s">
        <v>9</v>
      </c>
      <c r="C39" s="51" t="s">
        <v>20</v>
      </c>
      <c r="D39" s="51" t="s">
        <v>20</v>
      </c>
      <c r="E39" s="51" t="s">
        <v>20</v>
      </c>
      <c r="F39" s="52" t="s">
        <v>20</v>
      </c>
      <c r="G39" s="19"/>
      <c r="H39" s="29">
        <v>2</v>
      </c>
      <c r="I39" s="28" t="s">
        <v>12</v>
      </c>
      <c r="J39" s="55" t="s">
        <v>20</v>
      </c>
      <c r="K39" s="55" t="s">
        <v>20</v>
      </c>
      <c r="L39" s="55" t="s">
        <v>20</v>
      </c>
      <c r="M39" s="56" t="s">
        <v>20</v>
      </c>
      <c r="N39" s="19"/>
      <c r="O39" s="29">
        <v>2</v>
      </c>
      <c r="P39" s="27" t="s">
        <v>7</v>
      </c>
      <c r="Q39" s="33"/>
      <c r="R39" s="34"/>
      <c r="S39" s="34"/>
      <c r="T39" s="35"/>
    </row>
    <row r="40" spans="1:20" s="9" customFormat="1" ht="11.25" customHeight="1" x14ac:dyDescent="0.15">
      <c r="A40" s="29">
        <v>3</v>
      </c>
      <c r="B40" s="28" t="s">
        <v>10</v>
      </c>
      <c r="C40" s="51" t="s">
        <v>20</v>
      </c>
      <c r="D40" s="51" t="s">
        <v>20</v>
      </c>
      <c r="E40" s="51" t="s">
        <v>20</v>
      </c>
      <c r="F40" s="52" t="s">
        <v>20</v>
      </c>
      <c r="G40" s="19"/>
      <c r="H40" s="29">
        <v>3</v>
      </c>
      <c r="I40" s="28" t="s">
        <v>6</v>
      </c>
      <c r="J40" s="55" t="s">
        <v>20</v>
      </c>
      <c r="K40" s="55">
        <v>0.57777777777777783</v>
      </c>
      <c r="L40" s="55">
        <v>0.6645833333333333</v>
      </c>
      <c r="M40" s="56">
        <v>7.6388888888888895E-2</v>
      </c>
      <c r="N40" s="19"/>
      <c r="O40" s="29">
        <v>3</v>
      </c>
      <c r="P40" s="27" t="s">
        <v>8</v>
      </c>
      <c r="Q40" s="33"/>
      <c r="R40" s="34"/>
      <c r="S40" s="34"/>
      <c r="T40" s="35"/>
    </row>
    <row r="41" spans="1:20" s="9" customFormat="1" ht="11.25" customHeight="1" x14ac:dyDescent="0.15">
      <c r="A41" s="29">
        <v>4</v>
      </c>
      <c r="B41" s="28" t="s">
        <v>11</v>
      </c>
      <c r="C41" s="51" t="s">
        <v>20</v>
      </c>
      <c r="D41" s="51" t="s">
        <v>20</v>
      </c>
      <c r="E41" s="51" t="s">
        <v>20</v>
      </c>
      <c r="F41" s="60">
        <v>8.3333333333333329E-2</v>
      </c>
      <c r="G41" s="19"/>
      <c r="H41" s="29">
        <v>4</v>
      </c>
      <c r="I41" s="28" t="s">
        <v>7</v>
      </c>
      <c r="J41" s="55">
        <v>0.17986111111111111</v>
      </c>
      <c r="K41" s="55">
        <v>0.58402777777777781</v>
      </c>
      <c r="L41" s="55">
        <v>0.71319444444444446</v>
      </c>
      <c r="M41" s="56">
        <v>0.1076388888888889</v>
      </c>
      <c r="N41" s="19"/>
      <c r="O41" s="29">
        <v>4</v>
      </c>
      <c r="P41" s="27" t="s">
        <v>9</v>
      </c>
      <c r="Q41" s="33"/>
      <c r="R41" s="34"/>
      <c r="S41" s="34"/>
      <c r="T41" s="35"/>
    </row>
    <row r="42" spans="1:20" s="9" customFormat="1" ht="11.25" customHeight="1" x14ac:dyDescent="0.15">
      <c r="A42" s="29">
        <v>5</v>
      </c>
      <c r="B42" s="28" t="s">
        <v>12</v>
      </c>
      <c r="C42" s="51">
        <v>0.17777777777777778</v>
      </c>
      <c r="D42" s="51">
        <v>0.60416666666666663</v>
      </c>
      <c r="E42" s="51">
        <v>0.67499999999999993</v>
      </c>
      <c r="F42" s="52">
        <v>9.930555555555555E-2</v>
      </c>
      <c r="G42" s="19"/>
      <c r="H42" s="29">
        <v>5</v>
      </c>
      <c r="I42" s="28" t="s">
        <v>8</v>
      </c>
      <c r="J42" s="55">
        <v>0.20972222222222223</v>
      </c>
      <c r="K42" s="55">
        <v>0.60763888888888895</v>
      </c>
      <c r="L42" s="55">
        <v>0.75416666666666676</v>
      </c>
      <c r="M42" s="56">
        <v>0.13402777777777777</v>
      </c>
      <c r="N42" s="19"/>
      <c r="O42" s="29">
        <v>5</v>
      </c>
      <c r="P42" s="27" t="s">
        <v>10</v>
      </c>
      <c r="Q42" s="33"/>
      <c r="R42" s="34"/>
      <c r="S42" s="34"/>
      <c r="T42" s="35"/>
    </row>
    <row r="43" spans="1:20" s="9" customFormat="1" ht="11.25" customHeight="1" x14ac:dyDescent="0.15">
      <c r="A43" s="29">
        <v>6</v>
      </c>
      <c r="B43" s="28" t="s">
        <v>6</v>
      </c>
      <c r="C43" s="51">
        <v>0.21736111111111112</v>
      </c>
      <c r="D43" s="51">
        <v>0.60416666666666663</v>
      </c>
      <c r="E43" s="51">
        <v>0.73125000000000007</v>
      </c>
      <c r="F43" s="52">
        <v>0.12083333333333333</v>
      </c>
      <c r="G43" s="19"/>
      <c r="H43" s="29">
        <v>6</v>
      </c>
      <c r="I43" s="28" t="s">
        <v>9</v>
      </c>
      <c r="J43" s="55">
        <v>0.24027777777777778</v>
      </c>
      <c r="K43" s="55">
        <v>0.62222222222222223</v>
      </c>
      <c r="L43" s="55">
        <v>0.7895833333333333</v>
      </c>
      <c r="M43" s="56">
        <v>0.16458333333333333</v>
      </c>
      <c r="N43" s="19"/>
      <c r="O43" s="29">
        <v>6</v>
      </c>
      <c r="P43" s="27" t="s">
        <v>11</v>
      </c>
      <c r="Q43" s="33"/>
      <c r="R43" s="34"/>
      <c r="S43" s="34"/>
      <c r="T43" s="35"/>
    </row>
    <row r="44" spans="1:20" s="9" customFormat="1" ht="11.25" customHeight="1" x14ac:dyDescent="0.15">
      <c r="A44" s="29">
        <v>7</v>
      </c>
      <c r="B44" s="28" t="s">
        <v>7</v>
      </c>
      <c r="C44" s="51">
        <v>0.25138888888888888</v>
      </c>
      <c r="D44" s="51">
        <v>0.62083333333333335</v>
      </c>
      <c r="E44" s="51">
        <v>0.77013888888888893</v>
      </c>
      <c r="F44" s="52">
        <v>0.14097222222222222</v>
      </c>
      <c r="G44" s="19"/>
      <c r="H44" s="29">
        <v>7</v>
      </c>
      <c r="I44" s="28" t="s">
        <v>10</v>
      </c>
      <c r="J44" s="55">
        <v>0.26458333333333334</v>
      </c>
      <c r="K44" s="55">
        <v>0.65972222222222221</v>
      </c>
      <c r="L44" s="55">
        <v>0.82291666666666663</v>
      </c>
      <c r="M44" s="56">
        <v>0.20069444444444443</v>
      </c>
      <c r="N44" s="19"/>
      <c r="O44" s="29">
        <v>7</v>
      </c>
      <c r="P44" s="27" t="s">
        <v>12</v>
      </c>
      <c r="Q44" s="33"/>
      <c r="R44" s="34"/>
      <c r="S44" s="34"/>
      <c r="T44" s="35"/>
    </row>
    <row r="45" spans="1:20" s="9" customFormat="1" ht="11.25" customHeight="1" x14ac:dyDescent="0.15">
      <c r="A45" s="29">
        <v>8</v>
      </c>
      <c r="B45" s="28" t="s">
        <v>8</v>
      </c>
      <c r="C45" s="51">
        <v>0.27430555555555552</v>
      </c>
      <c r="D45" s="51">
        <v>0.63888888888888895</v>
      </c>
      <c r="E45" s="51">
        <v>0.80208333333333337</v>
      </c>
      <c r="F45" s="52">
        <v>0.16527777777777777</v>
      </c>
      <c r="G45" s="19"/>
      <c r="H45" s="29">
        <v>8</v>
      </c>
      <c r="I45" s="28" t="s">
        <v>11</v>
      </c>
      <c r="J45" s="77">
        <v>0.29097222222222224</v>
      </c>
      <c r="K45" s="77">
        <v>0.68402777777777779</v>
      </c>
      <c r="L45" s="77">
        <v>0.85486111111111107</v>
      </c>
      <c r="M45" s="88">
        <v>0.23680555555555557</v>
      </c>
      <c r="N45" s="19"/>
      <c r="O45" s="29">
        <v>8</v>
      </c>
      <c r="P45" s="27" t="s">
        <v>6</v>
      </c>
      <c r="Q45" s="33"/>
      <c r="R45" s="34"/>
      <c r="S45" s="34"/>
      <c r="T45" s="35"/>
    </row>
    <row r="46" spans="1:20" s="9" customFormat="1" ht="11.25" customHeight="1" x14ac:dyDescent="0.15">
      <c r="A46" s="29">
        <v>9</v>
      </c>
      <c r="B46" s="28" t="s">
        <v>9</v>
      </c>
      <c r="C46" s="51">
        <v>0.29930555555555555</v>
      </c>
      <c r="D46" s="51">
        <v>0.6645833333333333</v>
      </c>
      <c r="E46" s="51">
        <v>0.83819444444444446</v>
      </c>
      <c r="F46" s="52">
        <v>0.1875</v>
      </c>
      <c r="G46" s="19"/>
      <c r="H46" s="29">
        <v>9</v>
      </c>
      <c r="I46" s="28" t="s">
        <v>12</v>
      </c>
      <c r="J46" s="87">
        <v>0.30069444444444443</v>
      </c>
      <c r="K46" s="77">
        <v>0.72569444444444453</v>
      </c>
      <c r="L46" s="77">
        <v>0.88124999999999998</v>
      </c>
      <c r="M46" s="78" t="s">
        <v>21</v>
      </c>
      <c r="N46" s="19"/>
      <c r="O46" s="29">
        <v>9</v>
      </c>
      <c r="P46" s="27" t="s">
        <v>7</v>
      </c>
      <c r="Q46" s="33"/>
      <c r="R46" s="34"/>
      <c r="S46" s="34"/>
      <c r="T46" s="35"/>
    </row>
    <row r="47" spans="1:20" s="9" customFormat="1" ht="11.25" customHeight="1" x14ac:dyDescent="0.15">
      <c r="A47" s="29">
        <v>10</v>
      </c>
      <c r="B47" s="28" t="s">
        <v>10</v>
      </c>
      <c r="C47" s="51">
        <v>0.3263888888888889</v>
      </c>
      <c r="D47" s="51">
        <v>0.69791666666666663</v>
      </c>
      <c r="E47" s="51">
        <v>0.86458333333333337</v>
      </c>
      <c r="F47" s="52">
        <v>0.23055555555555554</v>
      </c>
      <c r="G47" s="19"/>
      <c r="H47" s="29">
        <v>10</v>
      </c>
      <c r="I47" s="28" t="s">
        <v>6</v>
      </c>
      <c r="J47" s="77" t="s">
        <v>21</v>
      </c>
      <c r="K47" s="77">
        <v>0.77847222222222223</v>
      </c>
      <c r="L47" s="77">
        <v>0.89374999999999993</v>
      </c>
      <c r="M47" s="78" t="s">
        <v>21</v>
      </c>
      <c r="N47" s="19"/>
      <c r="O47" s="29">
        <v>10</v>
      </c>
      <c r="P47" s="27" t="s">
        <v>8</v>
      </c>
      <c r="Q47" s="47"/>
      <c r="R47" s="33"/>
      <c r="S47" s="33"/>
      <c r="T47" s="35"/>
    </row>
    <row r="48" spans="1:20" s="9" customFormat="1" ht="11.25" customHeight="1" x14ac:dyDescent="0.15">
      <c r="A48" s="29">
        <v>11</v>
      </c>
      <c r="B48" s="28" t="s">
        <v>11</v>
      </c>
      <c r="C48" s="51">
        <v>0.33958333333333335</v>
      </c>
      <c r="D48" s="51">
        <v>0.72986111111111107</v>
      </c>
      <c r="E48" s="51">
        <v>0.88958333333333339</v>
      </c>
      <c r="F48" s="72">
        <v>0.30624999999999997</v>
      </c>
      <c r="G48" s="19"/>
      <c r="H48" s="29">
        <v>11</v>
      </c>
      <c r="I48" s="28" t="s">
        <v>7</v>
      </c>
      <c r="J48" s="77" t="s">
        <v>21</v>
      </c>
      <c r="K48" s="87">
        <v>0.84722222222222221</v>
      </c>
      <c r="L48" s="87">
        <v>0.89583333333333337</v>
      </c>
      <c r="M48" s="78" t="s">
        <v>21</v>
      </c>
      <c r="N48" s="19"/>
      <c r="O48" s="29">
        <v>11</v>
      </c>
      <c r="P48" s="27" t="s">
        <v>9</v>
      </c>
      <c r="Q48" s="30"/>
      <c r="R48" s="47"/>
      <c r="S48" s="48"/>
      <c r="T48" s="35"/>
    </row>
    <row r="49" spans="1:20" s="9" customFormat="1" ht="11.25" customHeight="1" x14ac:dyDescent="0.15">
      <c r="A49" s="29">
        <v>12</v>
      </c>
      <c r="B49" s="28" t="s">
        <v>12</v>
      </c>
      <c r="C49" s="63">
        <v>0.32708333333333334</v>
      </c>
      <c r="D49" s="51">
        <v>0.78125</v>
      </c>
      <c r="E49" s="51">
        <v>0.90416666666666667</v>
      </c>
      <c r="F49" s="52" t="s">
        <v>20</v>
      </c>
      <c r="G49" s="19"/>
      <c r="H49" s="29">
        <v>12</v>
      </c>
      <c r="I49" s="28" t="s">
        <v>8</v>
      </c>
      <c r="J49" s="55" t="s">
        <v>20</v>
      </c>
      <c r="K49" s="55" t="s">
        <v>20</v>
      </c>
      <c r="L49" s="55" t="s">
        <v>20</v>
      </c>
      <c r="M49" s="56" t="s">
        <v>20</v>
      </c>
      <c r="N49" s="19"/>
      <c r="O49" s="29">
        <v>12</v>
      </c>
      <c r="P49" s="27" t="s">
        <v>10</v>
      </c>
      <c r="Q49" s="30"/>
      <c r="R49" s="30"/>
      <c r="S49" s="30"/>
      <c r="T49" s="36"/>
    </row>
    <row r="50" spans="1:20" s="9" customFormat="1" ht="11.25" customHeight="1" x14ac:dyDescent="0.15">
      <c r="A50" s="29">
        <v>13</v>
      </c>
      <c r="B50" s="28" t="s">
        <v>6</v>
      </c>
      <c r="C50" s="51" t="s">
        <v>21</v>
      </c>
      <c r="D50" s="51" t="s">
        <v>21</v>
      </c>
      <c r="E50" s="63">
        <v>0.85555555555555562</v>
      </c>
      <c r="F50" s="72">
        <v>0.88541666666666663</v>
      </c>
      <c r="G50" s="19"/>
      <c r="H50" s="29">
        <v>13</v>
      </c>
      <c r="I50" s="28" t="s">
        <v>9</v>
      </c>
      <c r="J50" s="55" t="s">
        <v>20</v>
      </c>
      <c r="K50" s="55" t="s">
        <v>20</v>
      </c>
      <c r="L50" s="55" t="s">
        <v>20</v>
      </c>
      <c r="M50" s="56" t="s">
        <v>20</v>
      </c>
      <c r="N50" s="19"/>
      <c r="O50" s="29">
        <v>13</v>
      </c>
      <c r="P50" s="27" t="s">
        <v>11</v>
      </c>
      <c r="Q50" s="30"/>
      <c r="R50" s="30"/>
      <c r="S50" s="30"/>
      <c r="T50" s="36"/>
    </row>
    <row r="51" spans="1:20" s="9" customFormat="1" ht="11.25" customHeight="1" x14ac:dyDescent="0.15">
      <c r="A51" s="29">
        <v>14</v>
      </c>
      <c r="B51" s="28" t="s">
        <v>7</v>
      </c>
      <c r="C51" s="51" t="s">
        <v>20</v>
      </c>
      <c r="D51" s="51" t="s">
        <v>20</v>
      </c>
      <c r="E51" s="51" t="s">
        <v>20</v>
      </c>
      <c r="F51" s="52" t="s">
        <v>20</v>
      </c>
      <c r="G51" s="19"/>
      <c r="H51" s="29">
        <v>14</v>
      </c>
      <c r="I51" s="28" t="s">
        <v>10</v>
      </c>
      <c r="J51" s="55" t="s">
        <v>20</v>
      </c>
      <c r="K51" s="55" t="s">
        <v>20</v>
      </c>
      <c r="L51" s="55" t="s">
        <v>20</v>
      </c>
      <c r="M51" s="56" t="s">
        <v>20</v>
      </c>
      <c r="N51" s="19"/>
      <c r="O51" s="29">
        <v>14</v>
      </c>
      <c r="P51" s="27" t="s">
        <v>12</v>
      </c>
      <c r="Q51" s="30"/>
      <c r="R51" s="30"/>
      <c r="S51" s="30"/>
      <c r="T51" s="36"/>
    </row>
    <row r="52" spans="1:20" s="9" customFormat="1" ht="11.25" customHeight="1" x14ac:dyDescent="0.15">
      <c r="A52" s="29">
        <v>15</v>
      </c>
      <c r="B52" s="28" t="s">
        <v>8</v>
      </c>
      <c r="C52" s="51" t="s">
        <v>20</v>
      </c>
      <c r="D52" s="51" t="s">
        <v>20</v>
      </c>
      <c r="E52" s="51" t="s">
        <v>20</v>
      </c>
      <c r="F52" s="52" t="s">
        <v>20</v>
      </c>
      <c r="G52" s="19"/>
      <c r="H52" s="29">
        <v>15</v>
      </c>
      <c r="I52" s="28" t="s">
        <v>11</v>
      </c>
      <c r="J52" s="55" t="s">
        <v>20</v>
      </c>
      <c r="K52" s="55" t="s">
        <v>20</v>
      </c>
      <c r="L52" s="55" t="s">
        <v>20</v>
      </c>
      <c r="M52" s="56" t="s">
        <v>20</v>
      </c>
      <c r="N52" s="19"/>
      <c r="O52" s="29">
        <v>15</v>
      </c>
      <c r="P52" s="27" t="s">
        <v>6</v>
      </c>
      <c r="Q52" s="30"/>
      <c r="R52" s="30"/>
      <c r="S52" s="30"/>
      <c r="T52" s="36"/>
    </row>
    <row r="53" spans="1:20" s="9" customFormat="1" ht="11.25" customHeight="1" x14ac:dyDescent="0.15">
      <c r="A53" s="29">
        <v>16</v>
      </c>
      <c r="B53" s="28" t="s">
        <v>9</v>
      </c>
      <c r="C53" s="51" t="s">
        <v>20</v>
      </c>
      <c r="D53" s="51" t="s">
        <v>20</v>
      </c>
      <c r="E53" s="51" t="s">
        <v>20</v>
      </c>
      <c r="F53" s="52" t="s">
        <v>20</v>
      </c>
      <c r="G53" s="19"/>
      <c r="H53" s="29">
        <v>16</v>
      </c>
      <c r="I53" s="28" t="s">
        <v>12</v>
      </c>
      <c r="J53" s="55" t="s">
        <v>20</v>
      </c>
      <c r="K53" s="55" t="s">
        <v>20</v>
      </c>
      <c r="L53" s="55" t="s">
        <v>20</v>
      </c>
      <c r="M53" s="56" t="s">
        <v>20</v>
      </c>
      <c r="N53" s="19"/>
      <c r="O53" s="29">
        <v>16</v>
      </c>
      <c r="P53" s="27" t="s">
        <v>7</v>
      </c>
      <c r="Q53" s="30"/>
      <c r="R53" s="30"/>
      <c r="S53" s="30"/>
      <c r="T53" s="36"/>
    </row>
    <row r="54" spans="1:20" s="9" customFormat="1" ht="11.25" customHeight="1" x14ac:dyDescent="0.15">
      <c r="A54" s="29">
        <v>17</v>
      </c>
      <c r="B54" s="28" t="s">
        <v>10</v>
      </c>
      <c r="C54" s="51" t="s">
        <v>20</v>
      </c>
      <c r="D54" s="51" t="s">
        <v>20</v>
      </c>
      <c r="E54" s="51" t="s">
        <v>20</v>
      </c>
      <c r="F54" s="72">
        <v>9.1666666666666674E-2</v>
      </c>
      <c r="G54" s="19"/>
      <c r="H54" s="29">
        <v>17</v>
      </c>
      <c r="I54" s="28" t="s">
        <v>6</v>
      </c>
      <c r="J54" s="55" t="s">
        <v>20</v>
      </c>
      <c r="K54" s="55" t="s">
        <v>20</v>
      </c>
      <c r="L54" s="55" t="s">
        <v>20</v>
      </c>
      <c r="M54" s="56" t="s">
        <v>20</v>
      </c>
      <c r="N54" s="19"/>
      <c r="O54" s="29">
        <v>17</v>
      </c>
      <c r="P54" s="27" t="s">
        <v>8</v>
      </c>
      <c r="Q54" s="30"/>
      <c r="R54" s="30"/>
      <c r="S54" s="30"/>
      <c r="T54" s="36"/>
    </row>
    <row r="55" spans="1:20" s="9" customFormat="1" ht="11.25" customHeight="1" x14ac:dyDescent="0.15">
      <c r="A55" s="29">
        <v>18</v>
      </c>
      <c r="B55" s="28" t="s">
        <v>11</v>
      </c>
      <c r="C55" s="63">
        <v>0.15416666666666667</v>
      </c>
      <c r="D55" s="51" t="s">
        <v>20</v>
      </c>
      <c r="E55" s="51" t="s">
        <v>20</v>
      </c>
      <c r="F55" s="52">
        <v>0.1076388888888889</v>
      </c>
      <c r="G55" s="19"/>
      <c r="H55" s="29">
        <v>18</v>
      </c>
      <c r="I55" s="28" t="s">
        <v>7</v>
      </c>
      <c r="J55" s="55" t="s">
        <v>20</v>
      </c>
      <c r="K55" s="55">
        <v>0.61805555555555558</v>
      </c>
      <c r="L55" s="55">
        <v>0.67708333333333337</v>
      </c>
      <c r="M55" s="56" t="s">
        <v>20</v>
      </c>
      <c r="N55" s="19"/>
      <c r="O55" s="29">
        <v>18</v>
      </c>
      <c r="P55" s="27" t="s">
        <v>9</v>
      </c>
      <c r="Q55" s="30"/>
      <c r="R55" s="30"/>
      <c r="S55" s="30"/>
      <c r="T55" s="36"/>
    </row>
    <row r="56" spans="1:20" s="9" customFormat="1" ht="11.25" customHeight="1" x14ac:dyDescent="0.15">
      <c r="A56" s="29">
        <v>19</v>
      </c>
      <c r="B56" s="28" t="s">
        <v>12</v>
      </c>
      <c r="C56" s="51">
        <v>0.16250000000000001</v>
      </c>
      <c r="D56" s="51">
        <v>0.59375</v>
      </c>
      <c r="E56" s="51">
        <v>0.69930555555555562</v>
      </c>
      <c r="F56" s="52">
        <v>0.11388888888888889</v>
      </c>
      <c r="G56" s="19"/>
      <c r="H56" s="29">
        <v>19</v>
      </c>
      <c r="I56" s="28" t="s">
        <v>8</v>
      </c>
      <c r="J56" s="55" t="s">
        <v>20</v>
      </c>
      <c r="K56" s="55">
        <v>0.62222222222222223</v>
      </c>
      <c r="L56" s="55">
        <v>0.72430555555555554</v>
      </c>
      <c r="M56" s="56" t="s">
        <v>20</v>
      </c>
      <c r="N56" s="19"/>
      <c r="O56" s="29">
        <v>19</v>
      </c>
      <c r="P56" s="27" t="s">
        <v>10</v>
      </c>
      <c r="Q56" s="33"/>
      <c r="R56" s="45"/>
      <c r="S56" s="45"/>
      <c r="T56" s="35"/>
    </row>
    <row r="57" spans="1:20" s="9" customFormat="1" ht="11.25" customHeight="1" x14ac:dyDescent="0.15">
      <c r="A57" s="29">
        <v>20</v>
      </c>
      <c r="B57" s="28" t="s">
        <v>6</v>
      </c>
      <c r="C57" s="51">
        <v>0.20138888888888887</v>
      </c>
      <c r="D57" s="51">
        <v>0.62847222222222221</v>
      </c>
      <c r="E57" s="51">
        <v>0.72430555555555554</v>
      </c>
      <c r="F57" s="52">
        <v>0.14166666666666666</v>
      </c>
      <c r="G57" s="19"/>
      <c r="H57" s="29">
        <v>20</v>
      </c>
      <c r="I57" s="28" t="s">
        <v>9</v>
      </c>
      <c r="J57" s="55" t="s">
        <v>20</v>
      </c>
      <c r="K57" s="55">
        <v>0.64374999999999993</v>
      </c>
      <c r="L57" s="55">
        <v>0.75</v>
      </c>
      <c r="M57" s="56" t="s">
        <v>20</v>
      </c>
      <c r="N57" s="19"/>
      <c r="O57" s="29">
        <v>20</v>
      </c>
      <c r="P57" s="27" t="s">
        <v>11</v>
      </c>
      <c r="Q57" s="33"/>
      <c r="R57" s="34"/>
      <c r="S57" s="34"/>
      <c r="T57" s="35"/>
    </row>
    <row r="58" spans="1:20" s="9" customFormat="1" ht="11.25" customHeight="1" x14ac:dyDescent="0.15">
      <c r="A58" s="29">
        <v>21</v>
      </c>
      <c r="B58" s="28" t="s">
        <v>7</v>
      </c>
      <c r="C58" s="51">
        <v>0.22569444444444445</v>
      </c>
      <c r="D58" s="51">
        <v>0.6333333333333333</v>
      </c>
      <c r="E58" s="51">
        <v>0.75347222222222221</v>
      </c>
      <c r="F58" s="52">
        <v>0.15277777777777776</v>
      </c>
      <c r="G58" s="19"/>
      <c r="H58" s="29">
        <v>21</v>
      </c>
      <c r="I58" s="28" t="s">
        <v>10</v>
      </c>
      <c r="J58" s="55" t="s">
        <v>20</v>
      </c>
      <c r="K58" s="55">
        <v>0.66249999999999998</v>
      </c>
      <c r="L58" s="55">
        <v>0.77638888888888891</v>
      </c>
      <c r="M58" s="56" t="s">
        <v>20</v>
      </c>
      <c r="N58" s="19"/>
      <c r="O58" s="29">
        <v>21</v>
      </c>
      <c r="P58" s="27" t="s">
        <v>12</v>
      </c>
      <c r="Q58" s="33"/>
      <c r="R58" s="34"/>
      <c r="S58" s="34"/>
      <c r="T58" s="35"/>
    </row>
    <row r="59" spans="1:20" s="9" customFormat="1" ht="11.25" customHeight="1" x14ac:dyDescent="0.15">
      <c r="A59" s="29">
        <v>22</v>
      </c>
      <c r="B59" s="28" t="s">
        <v>8</v>
      </c>
      <c r="C59" s="51">
        <v>0.24444444444444446</v>
      </c>
      <c r="D59" s="51">
        <v>0.64930555555555558</v>
      </c>
      <c r="E59" s="51">
        <v>0.77916666666666667</v>
      </c>
      <c r="F59" s="52">
        <v>0.17291666666666669</v>
      </c>
      <c r="G59" s="19"/>
      <c r="H59" s="29">
        <v>22</v>
      </c>
      <c r="I59" s="28" t="s">
        <v>11</v>
      </c>
      <c r="J59" s="55" t="s">
        <v>20</v>
      </c>
      <c r="K59" s="55">
        <v>0.68055555555555547</v>
      </c>
      <c r="L59" s="55">
        <v>0.80347222222222225</v>
      </c>
      <c r="M59" s="56" t="s">
        <v>20</v>
      </c>
      <c r="N59" s="19"/>
      <c r="O59" s="29">
        <v>22</v>
      </c>
      <c r="P59" s="27" t="s">
        <v>6</v>
      </c>
      <c r="Q59" s="33"/>
      <c r="R59" s="34"/>
      <c r="S59" s="34"/>
      <c r="T59" s="35"/>
    </row>
    <row r="60" spans="1:20" s="9" customFormat="1" ht="11.25" customHeight="1" x14ac:dyDescent="0.15">
      <c r="A60" s="29">
        <v>23</v>
      </c>
      <c r="B60" s="28" t="s">
        <v>9</v>
      </c>
      <c r="C60" s="51">
        <v>0.2638888888888889</v>
      </c>
      <c r="D60" s="51">
        <v>0.67013888888888884</v>
      </c>
      <c r="E60" s="51">
        <v>0.79999999999999993</v>
      </c>
      <c r="F60" s="52">
        <v>0.20972222222222223</v>
      </c>
      <c r="G60" s="19"/>
      <c r="H60" s="29">
        <v>23</v>
      </c>
      <c r="I60" s="28" t="s">
        <v>12</v>
      </c>
      <c r="J60" s="55" t="s">
        <v>20</v>
      </c>
      <c r="K60" s="55">
        <v>0.70416666666666661</v>
      </c>
      <c r="L60" s="55">
        <v>0.82291666666666663</v>
      </c>
      <c r="M60" s="56" t="s">
        <v>20</v>
      </c>
      <c r="N60" s="19"/>
      <c r="O60" s="29">
        <v>23</v>
      </c>
      <c r="P60" s="27" t="s">
        <v>7</v>
      </c>
      <c r="Q60" s="33"/>
      <c r="R60" s="34"/>
      <c r="S60" s="34"/>
      <c r="T60" s="35"/>
    </row>
    <row r="61" spans="1:20" s="9" customFormat="1" ht="11.25" customHeight="1" x14ac:dyDescent="0.15">
      <c r="A61" s="29">
        <v>24</v>
      </c>
      <c r="B61" s="28" t="s">
        <v>10</v>
      </c>
      <c r="C61" s="51">
        <v>0.26944444444444443</v>
      </c>
      <c r="D61" s="51">
        <v>0.69027777777777777</v>
      </c>
      <c r="E61" s="51">
        <v>0.81736111111111109</v>
      </c>
      <c r="F61" s="72">
        <v>0.23472222222222219</v>
      </c>
      <c r="G61" s="19"/>
      <c r="H61" s="29">
        <v>24</v>
      </c>
      <c r="I61" s="28" t="s">
        <v>6</v>
      </c>
      <c r="J61" s="55" t="s">
        <v>20</v>
      </c>
      <c r="K61" s="55">
        <v>0.73125000000000007</v>
      </c>
      <c r="L61" s="55">
        <v>0.83194444444444438</v>
      </c>
      <c r="M61" s="56" t="s">
        <v>20</v>
      </c>
      <c r="N61" s="19"/>
      <c r="O61" s="29">
        <v>24</v>
      </c>
      <c r="P61" s="27" t="s">
        <v>8</v>
      </c>
      <c r="Q61" s="33"/>
      <c r="R61" s="34"/>
      <c r="S61" s="34"/>
      <c r="T61" s="35"/>
    </row>
    <row r="62" spans="1:20" s="9" customFormat="1" ht="11.25" customHeight="1" x14ac:dyDescent="0.15">
      <c r="A62" s="29">
        <v>25</v>
      </c>
      <c r="B62" s="28" t="s">
        <v>11</v>
      </c>
      <c r="C62" s="63">
        <v>0.27638888888888885</v>
      </c>
      <c r="D62" s="51">
        <v>0.70833333333333337</v>
      </c>
      <c r="E62" s="51">
        <v>0.82847222222222217</v>
      </c>
      <c r="F62" s="52" t="s">
        <v>20</v>
      </c>
      <c r="G62" s="19"/>
      <c r="H62" s="29">
        <v>25</v>
      </c>
      <c r="I62" s="28" t="s">
        <v>7</v>
      </c>
      <c r="J62" s="55" t="s">
        <v>20</v>
      </c>
      <c r="K62" s="55" t="s">
        <v>20</v>
      </c>
      <c r="L62" s="55" t="s">
        <v>20</v>
      </c>
      <c r="M62" s="56" t="s">
        <v>20</v>
      </c>
      <c r="N62" s="19"/>
      <c r="O62" s="29">
        <v>25</v>
      </c>
      <c r="P62" s="27" t="s">
        <v>9</v>
      </c>
      <c r="Q62" s="33"/>
      <c r="R62" s="34"/>
      <c r="S62" s="34"/>
      <c r="T62" s="35"/>
    </row>
    <row r="63" spans="1:20" s="9" customFormat="1" ht="11.25" customHeight="1" x14ac:dyDescent="0.15">
      <c r="A63" s="29">
        <v>26</v>
      </c>
      <c r="B63" s="28" t="s">
        <v>12</v>
      </c>
      <c r="C63" s="51" t="s">
        <v>20</v>
      </c>
      <c r="D63" s="51">
        <v>0.74722222222222223</v>
      </c>
      <c r="E63" s="51">
        <v>0.84861111111111109</v>
      </c>
      <c r="F63" s="52" t="s">
        <v>20</v>
      </c>
      <c r="G63" s="19"/>
      <c r="H63" s="29">
        <v>26</v>
      </c>
      <c r="I63" s="28" t="s">
        <v>8</v>
      </c>
      <c r="J63" s="55" t="s">
        <v>20</v>
      </c>
      <c r="K63" s="55" t="s">
        <v>20</v>
      </c>
      <c r="L63" s="55" t="s">
        <v>20</v>
      </c>
      <c r="M63" s="56" t="s">
        <v>20</v>
      </c>
      <c r="N63" s="19"/>
      <c r="O63" s="29">
        <v>26</v>
      </c>
      <c r="P63" s="27" t="s">
        <v>10</v>
      </c>
      <c r="Q63" s="33"/>
      <c r="R63" s="34"/>
      <c r="S63" s="34"/>
      <c r="T63" s="35"/>
    </row>
    <row r="64" spans="1:20" s="9" customFormat="1" ht="11.25" customHeight="1" x14ac:dyDescent="0.15">
      <c r="A64" s="29">
        <v>27</v>
      </c>
      <c r="B64" s="28" t="s">
        <v>6</v>
      </c>
      <c r="C64" s="51" t="s">
        <v>20</v>
      </c>
      <c r="D64" s="63">
        <v>0.78263888888888899</v>
      </c>
      <c r="E64" s="63">
        <v>0.8534722222222223</v>
      </c>
      <c r="F64" s="52" t="s">
        <v>20</v>
      </c>
      <c r="G64" s="19"/>
      <c r="H64" s="29">
        <v>27</v>
      </c>
      <c r="I64" s="28" t="s">
        <v>9</v>
      </c>
      <c r="J64" s="55" t="s">
        <v>20</v>
      </c>
      <c r="K64" s="55" t="s">
        <v>20</v>
      </c>
      <c r="L64" s="55" t="s">
        <v>20</v>
      </c>
      <c r="M64" s="56" t="s">
        <v>20</v>
      </c>
      <c r="N64" s="19"/>
      <c r="O64" s="29">
        <v>27</v>
      </c>
      <c r="P64" s="27" t="s">
        <v>11</v>
      </c>
      <c r="Q64" s="47"/>
      <c r="R64" s="48"/>
      <c r="S64" s="48"/>
      <c r="T64" s="49"/>
    </row>
    <row r="65" spans="1:20" s="9" customFormat="1" ht="11.25" customHeight="1" x14ac:dyDescent="0.15">
      <c r="A65" s="29">
        <v>28</v>
      </c>
      <c r="B65" s="28" t="s">
        <v>7</v>
      </c>
      <c r="C65" s="51" t="s">
        <v>20</v>
      </c>
      <c r="D65" s="51" t="s">
        <v>20</v>
      </c>
      <c r="E65" s="51" t="s">
        <v>20</v>
      </c>
      <c r="F65" s="52" t="s">
        <v>20</v>
      </c>
      <c r="G65" s="19"/>
      <c r="H65" s="29">
        <v>28</v>
      </c>
      <c r="I65" s="28" t="s">
        <v>10</v>
      </c>
      <c r="J65" s="55" t="s">
        <v>20</v>
      </c>
      <c r="K65" s="55" t="s">
        <v>20</v>
      </c>
      <c r="L65" s="55" t="s">
        <v>20</v>
      </c>
      <c r="M65" s="56" t="s">
        <v>20</v>
      </c>
      <c r="N65" s="19"/>
      <c r="O65" s="29">
        <v>28</v>
      </c>
      <c r="P65" s="27" t="s">
        <v>12</v>
      </c>
      <c r="Q65" s="30"/>
      <c r="R65" s="30"/>
      <c r="S65" s="30"/>
      <c r="T65" s="31"/>
    </row>
    <row r="66" spans="1:20" s="9" customFormat="1" ht="11.25" customHeight="1" x14ac:dyDescent="0.15">
      <c r="A66" s="29">
        <v>29</v>
      </c>
      <c r="B66" s="28" t="s">
        <v>8</v>
      </c>
      <c r="C66" s="51" t="s">
        <v>20</v>
      </c>
      <c r="D66" s="51" t="s">
        <v>20</v>
      </c>
      <c r="E66" s="51" t="s">
        <v>20</v>
      </c>
      <c r="F66" s="52" t="s">
        <v>20</v>
      </c>
      <c r="G66" s="19"/>
      <c r="H66" s="29">
        <v>29</v>
      </c>
      <c r="I66" s="28" t="s">
        <v>11</v>
      </c>
      <c r="J66" s="55" t="s">
        <v>20</v>
      </c>
      <c r="K66" s="55" t="s">
        <v>20</v>
      </c>
      <c r="L66" s="55" t="s">
        <v>20</v>
      </c>
      <c r="M66" s="56" t="s">
        <v>20</v>
      </c>
      <c r="N66" s="19"/>
      <c r="O66" s="29">
        <v>29</v>
      </c>
      <c r="P66" s="27" t="s">
        <v>6</v>
      </c>
      <c r="Q66" s="30"/>
      <c r="R66" s="30"/>
      <c r="S66" s="30"/>
      <c r="T66" s="31"/>
    </row>
    <row r="67" spans="1:20" s="9" customFormat="1" ht="11.25" customHeight="1" x14ac:dyDescent="0.15">
      <c r="A67" s="29">
        <v>30</v>
      </c>
      <c r="B67" s="28" t="s">
        <v>9</v>
      </c>
      <c r="C67" s="51" t="s">
        <v>20</v>
      </c>
      <c r="D67" s="51" t="s">
        <v>20</v>
      </c>
      <c r="E67" s="51" t="s">
        <v>20</v>
      </c>
      <c r="F67" s="52" t="s">
        <v>20</v>
      </c>
      <c r="G67" s="19"/>
      <c r="H67" s="29">
        <v>30</v>
      </c>
      <c r="I67" s="28" t="s">
        <v>12</v>
      </c>
      <c r="J67" s="55" t="s">
        <v>20</v>
      </c>
      <c r="K67" s="55" t="s">
        <v>20</v>
      </c>
      <c r="L67" s="55" t="s">
        <v>20</v>
      </c>
      <c r="M67" s="56" t="s">
        <v>20</v>
      </c>
      <c r="N67" s="19"/>
      <c r="O67" s="29">
        <v>30</v>
      </c>
      <c r="P67" s="27" t="s">
        <v>7</v>
      </c>
      <c r="Q67" s="30"/>
      <c r="R67" s="30"/>
      <c r="S67" s="30"/>
      <c r="T67" s="31"/>
    </row>
    <row r="68" spans="1:20" s="9" customFormat="1" ht="11.25" customHeight="1" thickBot="1" x14ac:dyDescent="0.2">
      <c r="A68" s="39">
        <v>31</v>
      </c>
      <c r="B68" s="28" t="s">
        <v>10</v>
      </c>
      <c r="C68" s="61" t="s">
        <v>20</v>
      </c>
      <c r="D68" s="61" t="s">
        <v>20</v>
      </c>
      <c r="E68" s="61" t="s">
        <v>20</v>
      </c>
      <c r="F68" s="62" t="s">
        <v>20</v>
      </c>
      <c r="G68" s="19"/>
      <c r="H68" s="39"/>
      <c r="I68" s="41"/>
      <c r="J68" s="79"/>
      <c r="K68" s="79"/>
      <c r="L68" s="79"/>
      <c r="M68" s="80"/>
      <c r="N68" s="19"/>
      <c r="O68" s="39">
        <v>31</v>
      </c>
      <c r="P68" s="27" t="s">
        <v>8</v>
      </c>
      <c r="Q68" s="37"/>
      <c r="R68" s="37"/>
      <c r="S68" s="37"/>
      <c r="T68" s="38"/>
    </row>
    <row r="69" spans="1:20" ht="9.9499999999999993" customHeight="1" x14ac:dyDescent="0.15">
      <c r="A69" s="12"/>
      <c r="B69" s="12"/>
      <c r="C69" s="13"/>
      <c r="D69" s="14"/>
      <c r="E69" s="13"/>
      <c r="F69" s="14"/>
      <c r="G69" s="11"/>
      <c r="H69" s="12"/>
      <c r="I69" s="12"/>
      <c r="J69" s="13"/>
      <c r="K69" s="14"/>
      <c r="L69" s="13"/>
      <c r="M69" s="14"/>
      <c r="N69" s="11"/>
      <c r="O69" s="15"/>
      <c r="P69" s="15"/>
      <c r="Q69" s="16"/>
      <c r="R69" s="17"/>
      <c r="S69" s="16"/>
      <c r="T69" s="17"/>
    </row>
    <row r="70" spans="1:20" ht="9.9499999999999993" customHeight="1" x14ac:dyDescent="0.15"/>
    <row r="71" spans="1:20" ht="9.9499999999999993" customHeight="1" x14ac:dyDescent="0.15"/>
    <row r="72" spans="1:20" ht="9.9499999999999993" customHeight="1" x14ac:dyDescent="0.15"/>
    <row r="73" spans="1:20" ht="9.9499999999999993" customHeight="1" x14ac:dyDescent="0.15"/>
    <row r="74" spans="1:20" ht="9.9499999999999993" customHeight="1" x14ac:dyDescent="0.15"/>
    <row r="75" spans="1:20" ht="9.9499999999999993" customHeight="1" x14ac:dyDescent="0.15"/>
    <row r="76" spans="1:20" ht="9.9499999999999993" customHeight="1" x14ac:dyDescent="0.15"/>
    <row r="77" spans="1:20" ht="9.9499999999999993" customHeight="1" x14ac:dyDescent="0.15"/>
    <row r="78" spans="1:20" ht="9.9499999999999993" customHeight="1" x14ac:dyDescent="0.15"/>
    <row r="79" spans="1:20" ht="9.9499999999999993" customHeight="1" x14ac:dyDescent="0.15"/>
    <row r="80" spans="1:20" ht="9.9499999999999993" customHeight="1" x14ac:dyDescent="0.15"/>
    <row r="81" ht="9.9499999999999993" customHeight="1" x14ac:dyDescent="0.15"/>
    <row r="82" ht="9.9499999999999993" customHeight="1" x14ac:dyDescent="0.15"/>
    <row r="83" ht="9.9499999999999993" customHeight="1" x14ac:dyDescent="0.15"/>
    <row r="84" ht="9.9499999999999993" customHeight="1" x14ac:dyDescent="0.15"/>
    <row r="85" ht="9.9499999999999993" customHeight="1" x14ac:dyDescent="0.15"/>
    <row r="86" ht="9.9499999999999993" customHeight="1" x14ac:dyDescent="0.15"/>
    <row r="87" ht="9.9499999999999993" customHeight="1" x14ac:dyDescent="0.15"/>
    <row r="88" ht="9.9499999999999993" customHeight="1" x14ac:dyDescent="0.15"/>
    <row r="89" ht="9.9499999999999993" customHeight="1" x14ac:dyDescent="0.15"/>
    <row r="90" ht="9.9499999999999993" customHeight="1" x14ac:dyDescent="0.15"/>
    <row r="91" ht="9.9499999999999993" customHeight="1" x14ac:dyDescent="0.15"/>
    <row r="92" ht="9.9499999999999993" customHeight="1" x14ac:dyDescent="0.15"/>
    <row r="93" ht="9.9499999999999993" customHeight="1" x14ac:dyDescent="0.15"/>
    <row r="94" ht="9.9499999999999993" customHeight="1" x14ac:dyDescent="0.15"/>
    <row r="95" ht="9.9499999999999993" customHeight="1" x14ac:dyDescent="0.15"/>
    <row r="96" ht="9.9499999999999993" customHeight="1" x14ac:dyDescent="0.15"/>
    <row r="97" ht="9.9499999999999993" customHeight="1" x14ac:dyDescent="0.15"/>
    <row r="98" ht="9.9499999999999993" customHeight="1" x14ac:dyDescent="0.15"/>
    <row r="99" ht="9.9499999999999993" customHeight="1" x14ac:dyDescent="0.15"/>
    <row r="100" ht="9.9499999999999993" customHeight="1" x14ac:dyDescent="0.15"/>
    <row r="101" ht="9.9499999999999993" customHeight="1" x14ac:dyDescent="0.15"/>
    <row r="102" ht="9.9499999999999993" customHeight="1" x14ac:dyDescent="0.15"/>
    <row r="103" ht="9.9499999999999993" customHeight="1" x14ac:dyDescent="0.15"/>
    <row r="104" ht="9.9499999999999993" customHeight="1" x14ac:dyDescent="0.15"/>
    <row r="105" ht="9.9499999999999993" customHeight="1" x14ac:dyDescent="0.15"/>
    <row r="106" ht="9.9499999999999993" customHeight="1" x14ac:dyDescent="0.15"/>
    <row r="107" ht="9.9499999999999993" customHeight="1" x14ac:dyDescent="0.15"/>
    <row r="108" ht="9.9499999999999993" customHeight="1" x14ac:dyDescent="0.15"/>
    <row r="109" ht="9.9499999999999993" customHeight="1" x14ac:dyDescent="0.15"/>
    <row r="110" ht="9.9499999999999993" customHeight="1" x14ac:dyDescent="0.15"/>
    <row r="111" ht="9.9499999999999993" customHeight="1" x14ac:dyDescent="0.15"/>
    <row r="112" ht="9.9499999999999993" customHeight="1" x14ac:dyDescent="0.15"/>
    <row r="113" ht="9.9499999999999993" customHeight="1" x14ac:dyDescent="0.15"/>
    <row r="114" ht="9.9499999999999993" customHeight="1" x14ac:dyDescent="0.15"/>
    <row r="115" ht="9.9499999999999993" customHeight="1" x14ac:dyDescent="0.15"/>
    <row r="116" ht="9.9499999999999993" customHeight="1" x14ac:dyDescent="0.15"/>
    <row r="117" ht="9.9499999999999993" customHeight="1" x14ac:dyDescent="0.15"/>
    <row r="118" ht="9.9499999999999993" customHeight="1" x14ac:dyDescent="0.15"/>
    <row r="119" ht="9.9499999999999993" customHeight="1" x14ac:dyDescent="0.15"/>
    <row r="120" ht="9.9499999999999993" customHeight="1" x14ac:dyDescent="0.15"/>
    <row r="121" ht="9.9499999999999993" customHeight="1" x14ac:dyDescent="0.15"/>
    <row r="122" ht="9.9499999999999993" customHeight="1" x14ac:dyDescent="0.15"/>
    <row r="123" ht="9.9499999999999993" customHeight="1" x14ac:dyDescent="0.15"/>
    <row r="124" ht="9.9499999999999993" customHeight="1" x14ac:dyDescent="0.15"/>
    <row r="125" ht="9.9499999999999993" customHeight="1" x14ac:dyDescent="0.15"/>
    <row r="126" ht="9.9499999999999993" customHeight="1" x14ac:dyDescent="0.15"/>
    <row r="127" ht="9.9499999999999993" customHeight="1" x14ac:dyDescent="0.15"/>
    <row r="128" ht="9.9499999999999993" customHeight="1" x14ac:dyDescent="0.15"/>
    <row r="129" ht="9.9499999999999993" customHeight="1" x14ac:dyDescent="0.15"/>
    <row r="130" ht="9.9499999999999993" customHeight="1" x14ac:dyDescent="0.15"/>
  </sheetData>
  <mergeCells count="24">
    <mergeCell ref="A1:F1"/>
    <mergeCell ref="H1:M1"/>
    <mergeCell ref="O1:T1"/>
    <mergeCell ref="O2:P3"/>
    <mergeCell ref="Q2:R2"/>
    <mergeCell ref="S2:T2"/>
    <mergeCell ref="A35:F35"/>
    <mergeCell ref="H35:M35"/>
    <mergeCell ref="O35:T35"/>
    <mergeCell ref="A2:B3"/>
    <mergeCell ref="C2:D2"/>
    <mergeCell ref="E2:F2"/>
    <mergeCell ref="H2:I3"/>
    <mergeCell ref="J2:K2"/>
    <mergeCell ref="L2:M2"/>
    <mergeCell ref="O36:P37"/>
    <mergeCell ref="Q36:R36"/>
    <mergeCell ref="S36:T36"/>
    <mergeCell ref="A36:B37"/>
    <mergeCell ref="C36:D36"/>
    <mergeCell ref="E36:F36"/>
    <mergeCell ref="H36:I37"/>
    <mergeCell ref="J36:K36"/>
    <mergeCell ref="L36:M36"/>
  </mergeCells>
  <phoneticPr fontId="2" type="noConversion"/>
  <printOptions horizontalCentered="1"/>
  <pageMargins left="0.15748031496062992" right="0.19685039370078741" top="0.86614173228346458" bottom="1.1023622047244095" header="0.43307086614173229" footer="0.51181102362204722"/>
  <pageSetup paperSize="9" scale="89" orientation="portrait" r:id="rId1"/>
  <headerFooter alignWithMargins="0">
    <oddHeader>&amp;C&amp;"굴림,굵게"&amp;18 2025년 제부도 바닷길 통행가능 시간표</oddHeader>
    <oddFooter>&amp;L&amp;9♠ 본 시간표는 국립해양조사원에서 제공하는 바다 갈라짐 예보 데이터를 기반으로 예측된 자료입니다. 
   어떠한 법적 효력도 가지고 있지 않음을 알려드립니다.
♠ 기상상태에 따라 바다갈라짐 발생 및 지속시간은 30분 이상 편차가 발생할 수 있습니다. 
♠ 표시된 시간은 통행이 가능한 시간입니다.  예) 09:12~ 18:38 : 9시 12분부터 18시 38분까지 통행이 가능합니다.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9F01-A45A-4B58-B0D0-C35BD3BD4064}">
  <dimension ref="A1:T130"/>
  <sheetViews>
    <sheetView view="pageLayout" topLeftCell="A38" zoomScale="130" zoomScaleNormal="130" zoomScaleSheetLayoutView="85" zoomScalePageLayoutView="130" workbookViewId="0">
      <selection activeCell="L37" sqref="L37"/>
    </sheetView>
  </sheetViews>
  <sheetFormatPr defaultColWidth="8.88671875" defaultRowHeight="13.5" x14ac:dyDescent="0.15"/>
  <cols>
    <col min="1" max="2" width="2.6640625" style="4" customWidth="1"/>
    <col min="3" max="3" width="6.33203125" style="5" customWidth="1"/>
    <col min="4" max="4" width="6.33203125" style="7" customWidth="1"/>
    <col min="5" max="5" width="6.33203125" style="5" customWidth="1"/>
    <col min="6" max="6" width="6.33203125" style="7" customWidth="1"/>
    <col min="7" max="7" width="1.5546875" style="3" customWidth="1"/>
    <col min="8" max="9" width="2.6640625" style="4" customWidth="1"/>
    <col min="10" max="10" width="6.33203125" style="5" customWidth="1"/>
    <col min="11" max="11" width="6.33203125" style="7" customWidth="1"/>
    <col min="12" max="12" width="6.33203125" style="5" customWidth="1"/>
    <col min="13" max="13" width="6.33203125" style="7" customWidth="1"/>
    <col min="14" max="14" width="1.5546875" style="3" customWidth="1"/>
    <col min="15" max="16" width="2.6640625" style="2" customWidth="1"/>
    <col min="17" max="17" width="6.33203125" style="6" customWidth="1"/>
    <col min="18" max="18" width="6.33203125" style="8" customWidth="1"/>
    <col min="19" max="19" width="6.33203125" style="6" customWidth="1"/>
    <col min="20" max="20" width="6.33203125" style="8" customWidth="1"/>
    <col min="21" max="16384" width="8.88671875" style="1"/>
  </cols>
  <sheetData>
    <row r="1" spans="1:20" ht="18" customHeight="1" thickBot="1" x14ac:dyDescent="0.2">
      <c r="A1" s="243" t="s">
        <v>13</v>
      </c>
      <c r="B1" s="243"/>
      <c r="C1" s="243"/>
      <c r="D1" s="243"/>
      <c r="E1" s="243"/>
      <c r="F1" s="243"/>
      <c r="G1" s="20"/>
      <c r="H1" s="243" t="s">
        <v>14</v>
      </c>
      <c r="I1" s="243"/>
      <c r="J1" s="243"/>
      <c r="K1" s="243"/>
      <c r="L1" s="243"/>
      <c r="M1" s="243"/>
      <c r="N1" s="20"/>
      <c r="O1" s="243" t="s">
        <v>15</v>
      </c>
      <c r="P1" s="243"/>
      <c r="Q1" s="243"/>
      <c r="R1" s="243"/>
      <c r="S1" s="243"/>
      <c r="T1" s="243"/>
    </row>
    <row r="2" spans="1:20" ht="11.1" customHeight="1" x14ac:dyDescent="0.15">
      <c r="A2" s="233" t="s">
        <v>0</v>
      </c>
      <c r="B2" s="240"/>
      <c r="C2" s="242" t="s">
        <v>1</v>
      </c>
      <c r="D2" s="237"/>
      <c r="E2" s="237" t="s">
        <v>2</v>
      </c>
      <c r="F2" s="238"/>
      <c r="G2" s="18"/>
      <c r="H2" s="233" t="s">
        <v>0</v>
      </c>
      <c r="I2" s="240"/>
      <c r="J2" s="242" t="s">
        <v>1</v>
      </c>
      <c r="K2" s="237"/>
      <c r="L2" s="237" t="s">
        <v>2</v>
      </c>
      <c r="M2" s="238"/>
      <c r="N2" s="18"/>
      <c r="O2" s="233" t="s">
        <v>0</v>
      </c>
      <c r="P2" s="234"/>
      <c r="Q2" s="237" t="s">
        <v>1</v>
      </c>
      <c r="R2" s="237"/>
      <c r="S2" s="237" t="s">
        <v>2</v>
      </c>
      <c r="T2" s="238"/>
    </row>
    <row r="3" spans="1:20" ht="21.75" customHeight="1" thickBot="1" x14ac:dyDescent="0.2">
      <c r="A3" s="235"/>
      <c r="B3" s="241"/>
      <c r="C3" s="21" t="s">
        <v>3</v>
      </c>
      <c r="D3" s="22" t="s">
        <v>4</v>
      </c>
      <c r="E3" s="22" t="s">
        <v>3</v>
      </c>
      <c r="F3" s="23" t="s">
        <v>4</v>
      </c>
      <c r="G3" s="18"/>
      <c r="H3" s="235"/>
      <c r="I3" s="241"/>
      <c r="J3" s="21" t="s">
        <v>3</v>
      </c>
      <c r="K3" s="22" t="s">
        <v>4</v>
      </c>
      <c r="L3" s="22" t="s">
        <v>3</v>
      </c>
      <c r="M3" s="23" t="s">
        <v>4</v>
      </c>
      <c r="N3" s="18"/>
      <c r="O3" s="235"/>
      <c r="P3" s="236"/>
      <c r="Q3" s="22" t="s">
        <v>3</v>
      </c>
      <c r="R3" s="22" t="s">
        <v>4</v>
      </c>
      <c r="S3" s="22" t="s">
        <v>3</v>
      </c>
      <c r="T3" s="23" t="s">
        <v>4</v>
      </c>
    </row>
    <row r="4" spans="1:20" s="9" customFormat="1" ht="10.5" customHeight="1" x14ac:dyDescent="0.15">
      <c r="A4" s="24">
        <v>1</v>
      </c>
      <c r="B4" s="25" t="s">
        <v>7</v>
      </c>
      <c r="C4" s="59">
        <f>'2025년 제부도 통행시간표 (현장자료)'!C4-'2026년 제부도 통행시간표 (공표자료)'!C72</f>
        <v>-701.59861111111115</v>
      </c>
      <c r="D4" s="59"/>
      <c r="E4" s="59"/>
      <c r="F4" s="60">
        <f>'2025년 제부도 통행시간표 (현장자료)'!F4-'2026년 제부도 통행시간표 (공표자료)'!F72</f>
        <v>-428.62361111111113</v>
      </c>
      <c r="G4" s="19"/>
      <c r="H4" s="26">
        <v>1</v>
      </c>
      <c r="I4" s="27" t="s">
        <v>10</v>
      </c>
      <c r="J4" s="53"/>
      <c r="K4" s="53"/>
      <c r="L4" s="53"/>
      <c r="M4" s="74"/>
      <c r="N4" s="19"/>
      <c r="O4" s="24">
        <v>1</v>
      </c>
      <c r="P4" s="28" t="s">
        <v>6</v>
      </c>
      <c r="Q4" s="59"/>
      <c r="R4" s="59"/>
      <c r="S4" s="59"/>
      <c r="T4" s="60"/>
    </row>
    <row r="5" spans="1:20" s="9" customFormat="1" ht="10.5" customHeight="1" x14ac:dyDescent="0.15">
      <c r="A5" s="29">
        <v>2</v>
      </c>
      <c r="B5" s="25" t="s">
        <v>8</v>
      </c>
      <c r="C5" s="59">
        <f>'2025년 제부도 통행시간표 (현장자료)'!C5-'2026년 제부도 통행시간표 (공표자료)'!C73</f>
        <v>-738.5958333333333</v>
      </c>
      <c r="D5" s="59"/>
      <c r="E5" s="59"/>
      <c r="F5" s="60"/>
      <c r="G5" s="19"/>
      <c r="H5" s="32">
        <v>2</v>
      </c>
      <c r="I5" s="27" t="s">
        <v>11</v>
      </c>
      <c r="J5" s="54"/>
      <c r="K5" s="54"/>
      <c r="L5" s="54"/>
      <c r="M5" s="57"/>
      <c r="N5" s="19"/>
      <c r="O5" s="29">
        <v>2</v>
      </c>
      <c r="P5" s="28" t="s">
        <v>7</v>
      </c>
      <c r="Q5" s="59"/>
      <c r="R5" s="59"/>
      <c r="S5" s="59"/>
      <c r="T5" s="60"/>
    </row>
    <row r="6" spans="1:20" s="9" customFormat="1" ht="10.5" customHeight="1" x14ac:dyDescent="0.15">
      <c r="A6" s="29">
        <v>3</v>
      </c>
      <c r="B6" s="25" t="s">
        <v>9</v>
      </c>
      <c r="C6" s="59"/>
      <c r="D6" s="59"/>
      <c r="E6" s="59"/>
      <c r="F6" s="60"/>
      <c r="G6" s="19"/>
      <c r="H6" s="32">
        <v>3</v>
      </c>
      <c r="I6" s="27" t="s">
        <v>12</v>
      </c>
      <c r="J6" s="54"/>
      <c r="K6" s="54"/>
      <c r="L6" s="54"/>
      <c r="M6" s="57"/>
      <c r="N6" s="19"/>
      <c r="O6" s="29">
        <v>3</v>
      </c>
      <c r="P6" s="28" t="s">
        <v>8</v>
      </c>
      <c r="Q6" s="59"/>
      <c r="R6" s="59"/>
      <c r="S6" s="59"/>
      <c r="T6" s="60"/>
    </row>
    <row r="7" spans="1:20" s="9" customFormat="1" ht="10.5" customHeight="1" x14ac:dyDescent="0.15">
      <c r="A7" s="29">
        <v>4</v>
      </c>
      <c r="B7" s="25" t="s">
        <v>10</v>
      </c>
      <c r="C7" s="59"/>
      <c r="D7" s="59"/>
      <c r="E7" s="59"/>
      <c r="F7" s="60"/>
      <c r="G7" s="19"/>
      <c r="H7" s="32">
        <v>4</v>
      </c>
      <c r="I7" s="27" t="s">
        <v>6</v>
      </c>
      <c r="J7" s="54"/>
      <c r="K7" s="54"/>
      <c r="L7" s="54"/>
      <c r="M7" s="57"/>
      <c r="N7" s="19"/>
      <c r="O7" s="29">
        <v>4</v>
      </c>
      <c r="P7" s="28" t="s">
        <v>9</v>
      </c>
      <c r="Q7" s="59"/>
      <c r="R7" s="59"/>
      <c r="S7" s="59"/>
      <c r="T7" s="60"/>
    </row>
    <row r="8" spans="1:20" s="9" customFormat="1" ht="10.5" customHeight="1" x14ac:dyDescent="0.15">
      <c r="A8" s="29">
        <v>5</v>
      </c>
      <c r="B8" s="25" t="s">
        <v>11</v>
      </c>
      <c r="C8" s="59"/>
      <c r="D8" s="59"/>
      <c r="E8" s="59"/>
      <c r="F8" s="60"/>
      <c r="G8" s="19"/>
      <c r="H8" s="32">
        <v>5</v>
      </c>
      <c r="I8" s="27" t="s">
        <v>7</v>
      </c>
      <c r="J8" s="54"/>
      <c r="K8" s="54"/>
      <c r="L8" s="54"/>
      <c r="M8" s="57"/>
      <c r="N8" s="19"/>
      <c r="O8" s="29">
        <v>5</v>
      </c>
      <c r="P8" s="28" t="s">
        <v>10</v>
      </c>
      <c r="Q8" s="59"/>
      <c r="R8" s="59"/>
      <c r="S8" s="59"/>
      <c r="T8" s="60" t="e">
        <f>'2025년 제부도 통행시간표 (현장자료)'!T8-'2026년 제부도 통행시간표 (공표자료)'!T76</f>
        <v>#VALUE!</v>
      </c>
    </row>
    <row r="9" spans="1:20" s="9" customFormat="1" ht="10.5" customHeight="1" x14ac:dyDescent="0.15">
      <c r="A9" s="29">
        <v>6</v>
      </c>
      <c r="B9" s="25" t="s">
        <v>12</v>
      </c>
      <c r="C9" s="59"/>
      <c r="D9" s="59"/>
      <c r="E9" s="59"/>
      <c r="F9" s="60"/>
      <c r="G9" s="19"/>
      <c r="H9" s="32">
        <v>6</v>
      </c>
      <c r="I9" s="27" t="s">
        <v>8</v>
      </c>
      <c r="J9" s="54"/>
      <c r="K9" s="54"/>
      <c r="L9" s="54"/>
      <c r="M9" s="76" t="e">
        <f>'2025년 제부도 통행시간표 (현장자료)'!M9-'2026년 제부도 통행시간표 (공표자료)'!M77</f>
        <v>#VALUE!</v>
      </c>
      <c r="N9" s="19"/>
      <c r="O9" s="29">
        <v>6</v>
      </c>
      <c r="P9" s="28" t="s">
        <v>11</v>
      </c>
      <c r="Q9" s="66" t="e">
        <f>'2025년 제부도 통행시간표 (현장자료)'!Q9-'2026년 제부도 통행시간표 (공표자료)'!Q77</f>
        <v>#VALUE!</v>
      </c>
      <c r="R9" s="66"/>
      <c r="S9" s="66"/>
      <c r="T9" s="60" t="e">
        <f>'2025년 제부도 통행시간표 (현장자료)'!T9-'2026년 제부도 통행시간표 (공표자료)'!T77</f>
        <v>#VALUE!</v>
      </c>
    </row>
    <row r="10" spans="1:20" s="9" customFormat="1" ht="10.5" customHeight="1" x14ac:dyDescent="0.15">
      <c r="A10" s="29">
        <v>7</v>
      </c>
      <c r="B10" s="25" t="s">
        <v>6</v>
      </c>
      <c r="C10" s="59"/>
      <c r="D10" s="59"/>
      <c r="E10" s="59"/>
      <c r="F10" s="60"/>
      <c r="G10" s="19"/>
      <c r="H10" s="32">
        <v>7</v>
      </c>
      <c r="I10" s="27" t="s">
        <v>9</v>
      </c>
      <c r="J10" s="68" t="e">
        <f>'2025년 제부도 통행시간표 (현장자료)'!J10-'2026년 제부도 통행시간표 (공표자료)'!J78</f>
        <v>#VALUE!</v>
      </c>
      <c r="K10" s="54"/>
      <c r="L10" s="54"/>
      <c r="M10" s="57" t="e">
        <f>'2025년 제부도 통행시간표 (현장자료)'!M10-'2026년 제부도 통행시간표 (공표자료)'!M78</f>
        <v>#VALUE!</v>
      </c>
      <c r="N10" s="19"/>
      <c r="O10" s="29">
        <v>7</v>
      </c>
      <c r="P10" s="28" t="s">
        <v>12</v>
      </c>
      <c r="Q10" s="59" t="e">
        <f>'2025년 제부도 통행시간표 (현장자료)'!Q10-'2026년 제부도 통행시간표 (공표자료)'!Q78</f>
        <v>#VALUE!</v>
      </c>
      <c r="R10" s="59" t="e">
        <f>'2025년 제부도 통행시간표 (현장자료)'!R10-'2026년 제부도 통행시간표 (공표자료)'!R78</f>
        <v>#VALUE!</v>
      </c>
      <c r="S10" s="59" t="e">
        <f>'2025년 제부도 통행시간표 (현장자료)'!S10-'2026년 제부도 통행시간표 (공표자료)'!S78</f>
        <v>#VALUE!</v>
      </c>
      <c r="T10" s="60">
        <f>'2025년 제부도 통행시간표 (현장자료)'!T10-'2026년 제부도 통행시간표 (공표자료)'!T78</f>
        <v>-137.87083333333334</v>
      </c>
    </row>
    <row r="11" spans="1:20" s="9" customFormat="1" ht="10.5" customHeight="1" x14ac:dyDescent="0.15">
      <c r="A11" s="29">
        <v>8</v>
      </c>
      <c r="B11" s="25" t="s">
        <v>7</v>
      </c>
      <c r="C11" s="59"/>
      <c r="D11" s="59"/>
      <c r="E11" s="59"/>
      <c r="F11" s="60" t="e">
        <f>'2025년 제부도 통행시간표 (현장자료)'!F11-'2026년 제부도 통행시간표 (공표자료)'!F79</f>
        <v>#VALUE!</v>
      </c>
      <c r="G11" s="19"/>
      <c r="H11" s="32">
        <v>8</v>
      </c>
      <c r="I11" s="27" t="s">
        <v>10</v>
      </c>
      <c r="J11" s="54" t="e">
        <f>'2025년 제부도 통행시간표 (현장자료)'!J11-'2026년 제부도 통행시간표 (공표자료)'!J79</f>
        <v>#VALUE!</v>
      </c>
      <c r="K11" s="54"/>
      <c r="L11" s="54"/>
      <c r="M11" s="57" t="e">
        <f>'2025년 제부도 통행시간표 (현장자료)'!M11-'2026년 제부도 통행시간표 (공표자료)'!M79</f>
        <v>#VALUE!</v>
      </c>
      <c r="N11" s="19"/>
      <c r="O11" s="29">
        <v>8</v>
      </c>
      <c r="P11" s="28" t="s">
        <v>6</v>
      </c>
      <c r="Q11" s="59">
        <f>'2025년 제부도 통행시간표 (현장자료)'!Q11-'2026년 제부도 통행시간표 (공표자료)'!Q79</f>
        <v>-255.71875</v>
      </c>
      <c r="R11" s="59" t="e">
        <f>'2025년 제부도 통행시간표 (현장자료)'!R11-'2026년 제부도 통행시간표 (공표자료)'!R79</f>
        <v>#VALUE!</v>
      </c>
      <c r="S11" s="59" t="e">
        <f>'2025년 제부도 통행시간표 (현장자료)'!S11-'2026년 제부도 통행시간표 (공표자료)'!S79</f>
        <v>#VALUE!</v>
      </c>
      <c r="T11" s="60">
        <f>'2025년 제부도 통행시간표 (현장자료)'!T11-'2026년 제부도 통행시간표 (공표자료)'!T79</f>
        <v>-147.84444444444443</v>
      </c>
    </row>
    <row r="12" spans="1:20" s="9" customFormat="1" ht="10.5" customHeight="1" x14ac:dyDescent="0.15">
      <c r="A12" s="29">
        <v>9</v>
      </c>
      <c r="B12" s="25" t="s">
        <v>8</v>
      </c>
      <c r="C12" s="66" t="e">
        <f>'2025년 제부도 통행시간표 (현장자료)'!C12-'2026년 제부도 통행시간표 (공표자료)'!C80</f>
        <v>#VALUE!</v>
      </c>
      <c r="D12" s="59"/>
      <c r="E12" s="59"/>
      <c r="F12" s="60" t="e">
        <f>'2025년 제부도 통행시간표 (현장자료)'!F12-'2026년 제부도 통행시간표 (공표자료)'!F80</f>
        <v>#VALUE!</v>
      </c>
      <c r="G12" s="19"/>
      <c r="H12" s="32">
        <v>9</v>
      </c>
      <c r="I12" s="27" t="s">
        <v>11</v>
      </c>
      <c r="J12" s="54" t="e">
        <f>'2025년 제부도 통행시간표 (현장자료)'!J12-'2026년 제부도 통행시간표 (공표자료)'!J80</f>
        <v>#VALUE!</v>
      </c>
      <c r="K12" s="54" t="e">
        <f>'2025년 제부도 통행시간표 (현장자료)'!K12-'2026년 제부도 통행시간표 (공표자료)'!K80</f>
        <v>#VALUE!</v>
      </c>
      <c r="L12" s="54" t="e">
        <f>'2025년 제부도 통행시간표 (현장자료)'!L12-'2026년 제부도 통행시간표 (공표자료)'!L80</f>
        <v>#VALUE!</v>
      </c>
      <c r="M12" s="57">
        <f>'2025년 제부도 통행시간표 (현장자료)'!M12-'2026년 제부도 통행시간표 (공표자료)'!M80</f>
        <v>-119.85</v>
      </c>
      <c r="N12" s="19"/>
      <c r="O12" s="29">
        <v>9</v>
      </c>
      <c r="P12" s="28" t="s">
        <v>7</v>
      </c>
      <c r="Q12" s="59">
        <f>'2025년 제부도 통행시간표 (현장자료)'!Q12-'2026년 제부도 통행시간표 (공표자료)'!Q80</f>
        <v>-446.69652777777776</v>
      </c>
      <c r="R12" s="59">
        <f>'2025년 제부도 통행시간표 (현장자료)'!R12-'2026년 제부도 통행시간표 (공표자료)'!R80</f>
        <v>-1455.33125</v>
      </c>
      <c r="S12" s="59">
        <f>'2025년 제부도 통행시간표 (현장자료)'!S12-'2026년 제부도 통행시간표 (공표자료)'!S80</f>
        <v>-1605.1881944444444</v>
      </c>
      <c r="T12" s="60">
        <f>'2025년 제부도 통행시간표 (현장자료)'!T12-'2026년 제부도 통행시간표 (공표자료)'!T80</f>
        <v>-217.82430555555555</v>
      </c>
    </row>
    <row r="13" spans="1:20" s="9" customFormat="1" ht="10.5" customHeight="1" x14ac:dyDescent="0.15">
      <c r="A13" s="29">
        <v>10</v>
      </c>
      <c r="B13" s="25" t="s">
        <v>9</v>
      </c>
      <c r="C13" s="59" t="e">
        <f>'2025년 제부도 통행시간표 (현장자료)'!C13-'2026년 제부도 통행시간표 (공표자료)'!C81</f>
        <v>#VALUE!</v>
      </c>
      <c r="D13" s="59"/>
      <c r="E13" s="59"/>
      <c r="F13" s="60">
        <f>'2025년 제부도 통행시간표 (현장자료)'!F13-'2026년 제부도 통행시간표 (공표자료)'!F81</f>
        <v>-48.861111111111114</v>
      </c>
      <c r="G13" s="19"/>
      <c r="H13" s="32">
        <v>10</v>
      </c>
      <c r="I13" s="27" t="s">
        <v>12</v>
      </c>
      <c r="J13" s="54">
        <f>'2025년 제부도 통행시간표 (현장자료)'!J13-'2026년 제부도 통행시간표 (공표자료)'!J81</f>
        <v>-310.70277777777778</v>
      </c>
      <c r="K13" s="54" t="e">
        <f>'2025년 제부도 통행시간표 (현장자료)'!K13-'2026년 제부도 통행시간표 (공표자료)'!K81</f>
        <v>#VALUE!</v>
      </c>
      <c r="L13" s="54" t="e">
        <f>'2025년 제부도 통행시간표 (현장자료)'!L13-'2026년 제부도 통행시간표 (공표자료)'!L81</f>
        <v>#VALUE!</v>
      </c>
      <c r="M13" s="57">
        <f>'2025년 제부도 통행시간표 (현장자료)'!M13-'2026년 제부도 통행시간표 (공표자료)'!M81</f>
        <v>-148.82777777777778</v>
      </c>
      <c r="N13" s="19"/>
      <c r="O13" s="29">
        <v>10</v>
      </c>
      <c r="P13" s="28" t="s">
        <v>8</v>
      </c>
      <c r="Q13" s="59">
        <f>'2025년 제부도 통행시간표 (현장자료)'!Q13-'2026년 제부도 통행시간표 (공표자료)'!Q81</f>
        <v>-547.67083333333335</v>
      </c>
      <c r="R13" s="59">
        <f>'2025년 제부도 통행시간표 (현장자료)'!R13-'2026년 제부도 통행시간표 (공표자료)'!R81</f>
        <v>-1456.3062500000001</v>
      </c>
      <c r="S13" s="59">
        <f>'2025년 제부도 통행시간표 (현장자료)'!S13-'2026년 제부도 통행시간표 (공표자료)'!S81</f>
        <v>-1734.1597222222222</v>
      </c>
      <c r="T13" s="60">
        <f>'2025년 제부도 통행시간표 (현장자료)'!T13-'2026년 제부도 통행시간표 (공표자료)'!T81</f>
        <v>-252.79166666666666</v>
      </c>
    </row>
    <row r="14" spans="1:20" s="9" customFormat="1" ht="10.5" customHeight="1" x14ac:dyDescent="0.15">
      <c r="A14" s="29">
        <v>11</v>
      </c>
      <c r="B14" s="25" t="s">
        <v>10</v>
      </c>
      <c r="C14" s="59">
        <f>'2025년 제부도 통행시간표 (현장자료)'!C14-'2026년 제부도 통행시간표 (공표자료)'!C82</f>
        <v>-118.72083333333333</v>
      </c>
      <c r="D14" s="66"/>
      <c r="E14" s="66"/>
      <c r="F14" s="60">
        <f>'2025년 제부도 통행시간표 (현장자료)'!F14-'2026년 제부도 통행시간표 (공표자료)'!F82</f>
        <v>-106.83263888888889</v>
      </c>
      <c r="G14" s="19"/>
      <c r="H14" s="32">
        <v>11</v>
      </c>
      <c r="I14" s="27" t="s">
        <v>6</v>
      </c>
      <c r="J14" s="54">
        <f>'2025년 제부도 통행시간표 (현장자료)'!J14-'2026년 제부도 통행시간표 (공표자료)'!J82</f>
        <v>-499.67500000000001</v>
      </c>
      <c r="K14" s="54" t="e">
        <f>'2025년 제부도 통행시간표 (현장자료)'!K14-'2026년 제부도 통행시간표 (공표자료)'!K82</f>
        <v>#VALUE!</v>
      </c>
      <c r="L14" s="54" t="e">
        <f>'2025년 제부도 통행시간표 (현장자료)'!L14-'2026년 제부도 통행시간표 (공표자료)'!L82</f>
        <v>#VALUE!</v>
      </c>
      <c r="M14" s="57">
        <f>'2025년 제부도 통행시간표 (현장자료)'!M14-'2026년 제부도 통행시간표 (공표자료)'!M82</f>
        <v>-226.80416666666667</v>
      </c>
      <c r="N14" s="19"/>
      <c r="O14" s="29">
        <v>11</v>
      </c>
      <c r="P14" s="28" t="s">
        <v>9</v>
      </c>
      <c r="Q14" s="59">
        <f>'2025년 제부도 통행시간표 (현장자료)'!Q14-'2026년 제부도 통행시간표 (공표자료)'!Q82</f>
        <v>-632.65347222222226</v>
      </c>
      <c r="R14" s="59">
        <f>'2025년 제부도 통행시간표 (현장자료)'!R14-'2026년 제부도 통행시간표 (공표자료)'!R82</f>
        <v>-1520.28125</v>
      </c>
      <c r="S14" s="59">
        <f>'2025년 제부도 통행시간표 (현장자료)'!S14-'2026년 제부도 통행시간표 (공표자료)'!S82</f>
        <v>-1830.129861111111</v>
      </c>
      <c r="T14" s="60">
        <f>'2025년 제부도 통행시간표 (현장자료)'!T14-'2026년 제부도 통행시간표 (공표자료)'!T82</f>
        <v>-328.76458333333335</v>
      </c>
    </row>
    <row r="15" spans="1:20" s="9" customFormat="1" ht="10.5" customHeight="1" x14ac:dyDescent="0.15">
      <c r="A15" s="29">
        <v>12</v>
      </c>
      <c r="B15" s="25" t="s">
        <v>11</v>
      </c>
      <c r="C15" s="59">
        <f>'2025년 제부도 통행시간표 (현장자료)'!C15-'2026년 제부도 통행시간표 (공표자료)'!C83</f>
        <v>-330.68958333333336</v>
      </c>
      <c r="D15" s="59" t="e">
        <f>'2025년 제부도 통행시간표 (현장자료)'!D15-'2026년 제부도 통행시간표 (공표자료)'!D83</f>
        <v>#VALUE!</v>
      </c>
      <c r="E15" s="59" t="e">
        <f>'2025년 제부도 통행시간표 (현장자료)'!E15-'2026년 제부도 통행시간표 (공표자료)'!E83</f>
        <v>#VALUE!</v>
      </c>
      <c r="F15" s="60">
        <f>'2025년 제부도 통행시간표 (현장자료)'!F15-'2026년 제부도 통행시간표 (공표자료)'!F83</f>
        <v>-147.8076388888889</v>
      </c>
      <c r="G15" s="19"/>
      <c r="H15" s="32">
        <v>12</v>
      </c>
      <c r="I15" s="27" t="s">
        <v>7</v>
      </c>
      <c r="J15" s="54">
        <f>'2025년 제부도 통행시간표 (현장자료)'!J15-'2026년 제부도 통행시간표 (공표자료)'!J83</f>
        <v>-610.65208333333328</v>
      </c>
      <c r="K15" s="54">
        <f>'2025년 제부도 통행시간표 (현장자료)'!K15-'2026년 제부도 통행시간표 (공표자료)'!K83</f>
        <v>-1526.28125</v>
      </c>
      <c r="L15" s="54">
        <f>'2025년 제부도 통행시간표 (현장자료)'!L15-'2026년 제부도 통행시간표 (공표자료)'!L83</f>
        <v>-1728.1569444444444</v>
      </c>
      <c r="M15" s="57">
        <f>'2025년 제부도 통행시간표 (현장자료)'!M15-'2026년 제부도 통행시간표 (공표자료)'!M83</f>
        <v>-305.78125</v>
      </c>
      <c r="N15" s="19"/>
      <c r="O15" s="29">
        <v>12</v>
      </c>
      <c r="P15" s="28" t="s">
        <v>10</v>
      </c>
      <c r="Q15" s="59">
        <f>'2025년 제부도 통행시간표 (현장자료)'!Q15-'2026년 제부도 통행시간표 (공표자료)'!Q83</f>
        <v>-706.63888888888891</v>
      </c>
      <c r="R15" s="59">
        <f>'2025년 제부도 통행시간표 (현장자료)'!R15-'2026년 제부도 통행시간표 (공표자료)'!R83</f>
        <v>-1550.2513888888889</v>
      </c>
      <c r="S15" s="59">
        <f>'2025년 제부도 통행시간표 (현장자료)'!S15-'2026년 제부도 통행시간표 (공표자료)'!S83</f>
        <v>-1914.1076388888889</v>
      </c>
      <c r="T15" s="71">
        <f>'2025년 제부도 통행시간표 (현장자료)'!T15-'2026년 제부도 통행시간표 (공표자료)'!T83</f>
        <v>-405.72430555555553</v>
      </c>
    </row>
    <row r="16" spans="1:20" s="9" customFormat="1" ht="10.5" customHeight="1" x14ac:dyDescent="0.15">
      <c r="A16" s="29">
        <v>13</v>
      </c>
      <c r="B16" s="25" t="s">
        <v>12</v>
      </c>
      <c r="C16" s="59">
        <f>'2025년 제부도 통행시간표 (현장자료)'!C16-'2026년 제부도 통행시간표 (공표자료)'!C84</f>
        <v>-502.66319444444446</v>
      </c>
      <c r="D16" s="59" t="e">
        <f>'2025년 제부도 통행시간표 (현장자료)'!D16-'2026년 제부도 통행시간표 (공표자료)'!D84</f>
        <v>#VALUE!</v>
      </c>
      <c r="E16" s="59" t="e">
        <f>'2025년 제부도 통행시간표 (현장자료)'!E16-'2026년 제부도 통행시간표 (공표자료)'!E84</f>
        <v>#VALUE!</v>
      </c>
      <c r="F16" s="60">
        <f>'2025년 제부도 통행시간표 (현장자료)'!F16-'2026년 제부도 통행시간표 (공표자료)'!F84</f>
        <v>-231.78819444444446</v>
      </c>
      <c r="G16" s="19"/>
      <c r="H16" s="32">
        <v>13</v>
      </c>
      <c r="I16" s="27" t="s">
        <v>8</v>
      </c>
      <c r="J16" s="54">
        <f>'2025년 제부도 통행시간표 (현장자료)'!J16-'2026년 제부도 통행시간표 (공표자료)'!J84</f>
        <v>-702.62569444444443</v>
      </c>
      <c r="K16" s="54">
        <f>'2025년 제부도 통행시간표 (현장자료)'!K16-'2026년 제부도 통행시간표 (공표자료)'!K84</f>
        <v>-1551.2604166666667</v>
      </c>
      <c r="L16" s="54">
        <f>'2025년 제부도 통행시간표 (현장자료)'!L16-'2026년 제부도 통행시간표 (공표자료)'!L84</f>
        <v>-1834.1333333333334</v>
      </c>
      <c r="M16" s="57">
        <f>'2025년 제부도 통행시간표 (현장자료)'!M16-'2026년 제부도 통행시간표 (공표자료)'!M84</f>
        <v>-345.75</v>
      </c>
      <c r="N16" s="19"/>
      <c r="O16" s="29">
        <v>13</v>
      </c>
      <c r="P16" s="28" t="s">
        <v>11</v>
      </c>
      <c r="Q16" s="59">
        <f>'2025년 제부도 통행시간표 (현장자료)'!Q16-'2026년 제부도 통행시간표 (공표자료)'!Q84</f>
        <v>-734.63055555555559</v>
      </c>
      <c r="R16" s="59">
        <f>'2025년 제부도 통행시간표 (현장자료)'!R16-'2026년 제부도 통행시간표 (공표자료)'!R84</f>
        <v>-1623.2</v>
      </c>
      <c r="S16" s="59">
        <f>'2025년 제부도 통행시간표 (현장자료)'!S16-'2026년 제부도 통행시간표 (공표자료)'!S84</f>
        <v>-1951.09375</v>
      </c>
      <c r="T16" s="60"/>
    </row>
    <row r="17" spans="1:20" s="9" customFormat="1" ht="10.5" customHeight="1" x14ac:dyDescent="0.15">
      <c r="A17" s="29">
        <v>14</v>
      </c>
      <c r="B17" s="25" t="s">
        <v>6</v>
      </c>
      <c r="C17" s="59">
        <f>'2025년 제부도 통행시간표 (현장자료)'!C17-'2026년 제부도 통행시간표 (공표자료)'!C85</f>
        <v>-615.64027777777778</v>
      </c>
      <c r="D17" s="59">
        <f>'2025년 제부도 통행시간표 (현장자료)'!D17-'2026년 제부도 통행시간표 (공표자료)'!D85</f>
        <v>-1552.2416666666666</v>
      </c>
      <c r="E17" s="59">
        <f>'2025년 제부도 통행시간표 (현장자료)'!E17-'2026년 제부도 통행시간표 (공표자료)'!E85</f>
        <v>-1712.182638888889</v>
      </c>
      <c r="F17" s="60">
        <f>'2025년 제부도 통행시간표 (현장자료)'!F17-'2026년 제부도 통행시간표 (공표자료)'!F85</f>
        <v>-316.76388888888891</v>
      </c>
      <c r="G17" s="19"/>
      <c r="H17" s="32">
        <v>14</v>
      </c>
      <c r="I17" s="27" t="s">
        <v>9</v>
      </c>
      <c r="J17" s="54">
        <f>'2025년 제부도 통행시간표 (현장자료)'!J17-'2026년 제부도 통행시간표 (공표자료)'!J85</f>
        <v>-744.60972222222222</v>
      </c>
      <c r="K17" s="54">
        <f>'2025년 제부도 통행시간표 (현장자료)'!K17-'2026년 제부도 통행시간표 (공표자료)'!K85</f>
        <v>-1622.2166666666667</v>
      </c>
      <c r="L17" s="54">
        <f>'2025년 제부도 통행시간표 (현장자료)'!L17-'2026년 제부도 통행시간표 (공표자료)'!L85</f>
        <v>-1925.1076388888889</v>
      </c>
      <c r="M17" s="57">
        <f>'2025년 제부도 통행시간표 (현장자료)'!M17-'2026년 제부도 통행시간표 (공표자료)'!M85</f>
        <v>-424.70555555555558</v>
      </c>
      <c r="N17" s="19"/>
      <c r="O17" s="29">
        <v>14</v>
      </c>
      <c r="P17" s="28" t="s">
        <v>12</v>
      </c>
      <c r="Q17" s="59"/>
      <c r="R17" s="66"/>
      <c r="S17" s="66"/>
      <c r="T17" s="60"/>
    </row>
    <row r="18" spans="1:20" s="9" customFormat="1" ht="10.5" customHeight="1" x14ac:dyDescent="0.15">
      <c r="A18" s="29">
        <v>15</v>
      </c>
      <c r="B18" s="25" t="s">
        <v>7</v>
      </c>
      <c r="C18" s="59">
        <f>'2025년 제부도 통행시간표 (현장자료)'!C18-'2026년 제부도 통행시간표 (공표자료)'!C86</f>
        <v>-715.61736111111111</v>
      </c>
      <c r="D18" s="59">
        <f>'2025년 제부도 통행시간표 (현장자료)'!D18-'2026년 제부도 통행시간표 (공표자료)'!D86</f>
        <v>-1621.2173611111111</v>
      </c>
      <c r="E18" s="59">
        <f>'2025년 제부도 통행시간표 (현장자료)'!E18-'2026년 제부도 통행시간표 (공표자료)'!E86</f>
        <v>-1824.1458333333333</v>
      </c>
      <c r="F18" s="60">
        <f>'2025년 제부도 통행시간표 (현장자료)'!F18-'2026년 제부도 통행시간표 (공표자료)'!F86</f>
        <v>-401.73055555555555</v>
      </c>
      <c r="G18" s="19"/>
      <c r="H18" s="32">
        <v>15</v>
      </c>
      <c r="I18" s="27" t="s">
        <v>10</v>
      </c>
      <c r="J18" s="54">
        <f>'2025년 제부도 통행시간표 (현장자료)'!J18-'2026년 제부도 통행시간표 (공표자료)'!J86</f>
        <v>-817.60972222222222</v>
      </c>
      <c r="K18" s="54">
        <f>'2025년 제부도 통행시간표 (현장자료)'!K18-'2026년 제부도 통행시간표 (공표자료)'!K86</f>
        <v>-1657.1805555555557</v>
      </c>
      <c r="L18" s="54">
        <f>'2025년 제부도 통행시간표 (현장자료)'!L18-'2026년 제부도 통행시간표 (공표자료)'!L86</f>
        <v>-2008.0840277777777</v>
      </c>
      <c r="M18" s="76"/>
      <c r="N18" s="19"/>
      <c r="O18" s="29">
        <v>15</v>
      </c>
      <c r="P18" s="28" t="s">
        <v>6</v>
      </c>
      <c r="Q18" s="59"/>
      <c r="R18" s="59"/>
      <c r="S18" s="59"/>
      <c r="T18" s="60"/>
    </row>
    <row r="19" spans="1:20" s="9" customFormat="1" ht="10.5" customHeight="1" x14ac:dyDescent="0.15">
      <c r="A19" s="29">
        <v>16</v>
      </c>
      <c r="B19" s="25" t="s">
        <v>8</v>
      </c>
      <c r="C19" s="59">
        <f>'2025년 제부도 통행시간표 (현장자료)'!C19-'2026년 제부도 통행시간표 (공표자료)'!C87</f>
        <v>-804.59236111111113</v>
      </c>
      <c r="D19" s="66">
        <f>'2025년 제부도 통행시간표 (현장자료)'!D19-'2026년 제부도 통행시간표 (공표자료)'!D87</f>
        <v>-1657.2013888888889</v>
      </c>
      <c r="E19" s="59">
        <f>'2025년 제부도 통행시간표 (현장자료)'!E19-'2026년 제부도 통행시간표 (공표자료)'!E87</f>
        <v>-1921.1</v>
      </c>
      <c r="F19" s="60">
        <f>'2025년 제부도 통행시간표 (현장자료)'!F19-'2026년 제부도 통행시간표 (공표자료)'!F87</f>
        <v>-445.70277777777778</v>
      </c>
      <c r="G19" s="19"/>
      <c r="H19" s="32">
        <v>16</v>
      </c>
      <c r="I19" s="27" t="s">
        <v>11</v>
      </c>
      <c r="J19" s="68"/>
      <c r="K19" s="54">
        <f>'2025년 제부도 통행시간표 (현장자료)'!K19-'2026년 제부도 통행시간표 (공표자료)'!K87</f>
        <v>-1734.1152777777777</v>
      </c>
      <c r="L19" s="54">
        <f>'2025년 제부도 통행시간표 (현장자료)'!L19-'2026년 제부도 통행시간표 (공표자료)'!L87</f>
        <v>-2043.0736111111112</v>
      </c>
      <c r="M19" s="57"/>
      <c r="N19" s="19"/>
      <c r="O19" s="29">
        <v>16</v>
      </c>
      <c r="P19" s="28" t="s">
        <v>7</v>
      </c>
      <c r="Q19" s="59"/>
      <c r="R19" s="59"/>
      <c r="S19" s="59"/>
      <c r="T19" s="60"/>
    </row>
    <row r="20" spans="1:20" s="9" customFormat="1" ht="10.5" customHeight="1" x14ac:dyDescent="0.15">
      <c r="A20" s="29">
        <v>17</v>
      </c>
      <c r="B20" s="25" t="s">
        <v>9</v>
      </c>
      <c r="C20" s="59">
        <f>'2025년 제부도 통행시간표 (현장자료)'!C20-'2026년 제부도 통행시간표 (공표자료)'!C88</f>
        <v>-845.57847222222222</v>
      </c>
      <c r="D20" s="59">
        <f>'2025년 제부도 통행시간표 (현장자료)'!D20-'2026년 제부도 통행시간표 (공표자료)'!D88</f>
        <v>-1736.1375</v>
      </c>
      <c r="E20" s="59">
        <f>'2025년 제부도 통행시간표 (현장자료)'!E20-'2026년 제부도 통행시간표 (공표자료)'!E88</f>
        <v>-2009.0951388888889</v>
      </c>
      <c r="F20" s="60">
        <f>'2025년 제부도 통행시간표 (현장자료)'!F20-'2026년 제부도 통행시간표 (공표자료)'!F88</f>
        <v>-528.63819444444448</v>
      </c>
      <c r="G20" s="19"/>
      <c r="H20" s="32">
        <v>17</v>
      </c>
      <c r="I20" s="27" t="s">
        <v>12</v>
      </c>
      <c r="J20" s="54"/>
      <c r="K20" s="54"/>
      <c r="L20" s="54"/>
      <c r="M20" s="57"/>
      <c r="N20" s="19"/>
      <c r="O20" s="29">
        <v>17</v>
      </c>
      <c r="P20" s="28" t="s">
        <v>8</v>
      </c>
      <c r="Q20" s="59"/>
      <c r="R20" s="59"/>
      <c r="S20" s="59"/>
      <c r="T20" s="60"/>
    </row>
    <row r="21" spans="1:20" s="9" customFormat="1" ht="10.5" customHeight="1" x14ac:dyDescent="0.15">
      <c r="A21" s="29">
        <v>18</v>
      </c>
      <c r="B21" s="25" t="s">
        <v>10</v>
      </c>
      <c r="C21" s="59">
        <f>'2025년 제부도 통행시간표 (현장자료)'!C21-'2026년 제부도 통행시간표 (공표자료)'!C89</f>
        <v>-918.57777777777778</v>
      </c>
      <c r="D21" s="59"/>
      <c r="E21" s="59"/>
      <c r="F21" s="60"/>
      <c r="G21" s="19"/>
      <c r="H21" s="32">
        <v>18</v>
      </c>
      <c r="I21" s="27" t="s">
        <v>6</v>
      </c>
      <c r="J21" s="54"/>
      <c r="K21" s="54"/>
      <c r="L21" s="54"/>
      <c r="M21" s="57"/>
      <c r="N21" s="19"/>
      <c r="O21" s="29">
        <v>18</v>
      </c>
      <c r="P21" s="28" t="s">
        <v>9</v>
      </c>
      <c r="Q21" s="59"/>
      <c r="R21" s="59"/>
      <c r="S21" s="59"/>
      <c r="T21" s="71" t="e">
        <f>'2025년 제부도 통행시간표 (현장자료)'!T21-'2026년 제부도 통행시간표 (공표자료)'!T89</f>
        <v>#VALUE!</v>
      </c>
    </row>
    <row r="22" spans="1:20" s="9" customFormat="1" ht="10.5" customHeight="1" x14ac:dyDescent="0.15">
      <c r="A22" s="29">
        <v>19</v>
      </c>
      <c r="B22" s="25" t="s">
        <v>11</v>
      </c>
      <c r="C22" s="59"/>
      <c r="D22" s="59"/>
      <c r="E22" s="59"/>
      <c r="F22" s="60"/>
      <c r="G22" s="19"/>
      <c r="H22" s="32">
        <v>19</v>
      </c>
      <c r="I22" s="27" t="s">
        <v>7</v>
      </c>
      <c r="J22" s="54"/>
      <c r="K22" s="54"/>
      <c r="L22" s="54"/>
      <c r="M22" s="57"/>
      <c r="N22" s="19"/>
      <c r="O22" s="29">
        <v>19</v>
      </c>
      <c r="P22" s="28" t="s">
        <v>10</v>
      </c>
      <c r="Q22" s="59" t="e">
        <f>'2025년 제부도 통행시간표 (현장자료)'!Q22-'2026년 제부도 통행시간표 (공표자료)'!Q90</f>
        <v>#VALUE!</v>
      </c>
      <c r="R22" s="59"/>
      <c r="S22" s="59"/>
      <c r="T22" s="71" t="e">
        <f>'2025년 제부도 통행시간표 (현장자료)'!T22-'2026년 제부도 통행시간표 (공표자료)'!T90</f>
        <v>#VALUE!</v>
      </c>
    </row>
    <row r="23" spans="1:20" s="9" customFormat="1" ht="10.5" customHeight="1" x14ac:dyDescent="0.15">
      <c r="A23" s="29">
        <v>20</v>
      </c>
      <c r="B23" s="25" t="s">
        <v>12</v>
      </c>
      <c r="C23" s="59"/>
      <c r="D23" s="59"/>
      <c r="E23" s="59"/>
      <c r="F23" s="60"/>
      <c r="G23" s="19"/>
      <c r="H23" s="32">
        <v>20</v>
      </c>
      <c r="I23" s="27" t="s">
        <v>8</v>
      </c>
      <c r="J23" s="54"/>
      <c r="K23" s="54"/>
      <c r="L23" s="54"/>
      <c r="M23" s="57" t="e">
        <f>'2025년 제부도 통행시간표 (현장자료)'!M23-'2026년 제부도 통행시간표 (공표자료)'!M91</f>
        <v>#VALUE!</v>
      </c>
      <c r="N23" s="19"/>
      <c r="O23" s="29">
        <v>20</v>
      </c>
      <c r="P23" s="28" t="s">
        <v>11</v>
      </c>
      <c r="Q23" s="59" t="e">
        <f>'2025년 제부도 통행시간표 (현장자료)'!Q23-'2026년 제부도 통행시간표 (공표자료)'!Q91</f>
        <v>#VALUE!</v>
      </c>
      <c r="R23" s="59" t="e">
        <f>'2025년 제부도 통행시간표 (현장자료)'!R23-'2026년 제부도 통행시간표 (공표자료)'!R91</f>
        <v>#VALUE!</v>
      </c>
      <c r="S23" s="66" t="e">
        <f>'2025년 제부도 통행시간표 (현장자료)'!S23-'2026년 제부도 통행시간표 (공표자료)'!S91</f>
        <v>#VALUE!</v>
      </c>
      <c r="T23" s="60" t="e">
        <f>'2025년 제부도 통행시간표 (현장자료)'!T23-'2026년 제부도 통행시간표 (공표자료)'!T91</f>
        <v>#VALUE!</v>
      </c>
    </row>
    <row r="24" spans="1:20" s="9" customFormat="1" ht="10.5" customHeight="1" x14ac:dyDescent="0.15">
      <c r="A24" s="29">
        <v>21</v>
      </c>
      <c r="B24" s="25" t="s">
        <v>6</v>
      </c>
      <c r="C24" s="59"/>
      <c r="D24" s="59"/>
      <c r="E24" s="59"/>
      <c r="F24" s="60" t="e">
        <f>'2025년 제부도 통행시간표 (현장자료)'!F24-'2026년 제부도 통행시간표 (공표자료)'!F92</f>
        <v>#VALUE!</v>
      </c>
      <c r="G24" s="19"/>
      <c r="H24" s="32">
        <v>21</v>
      </c>
      <c r="I24" s="27" t="s">
        <v>9</v>
      </c>
      <c r="J24" s="54" t="e">
        <f>'2025년 제부도 통행시간표 (현장자료)'!J24-'2026년 제부도 통행시간표 (공표자료)'!J92</f>
        <v>#VALUE!</v>
      </c>
      <c r="K24" s="54"/>
      <c r="L24" s="54"/>
      <c r="M24" s="57" t="e">
        <f>'2025년 제부도 통행시간표 (현장자료)'!M24-'2026년 제부도 통행시간표 (공표자료)'!M92</f>
        <v>#VALUE!</v>
      </c>
      <c r="N24" s="19"/>
      <c r="O24" s="29">
        <v>21</v>
      </c>
      <c r="P24" s="28" t="s">
        <v>12</v>
      </c>
      <c r="Q24" s="59" t="e">
        <f>'2025년 제부도 통행시간표 (현장자료)'!Q24-'2026년 제부도 통행시간표 (공표자료)'!Q92</f>
        <v>#VALUE!</v>
      </c>
      <c r="R24" s="59" t="e">
        <f>'2025년 제부도 통행시간표 (현장자료)'!R24-'2026년 제부도 통행시간표 (공표자료)'!R92</f>
        <v>#VALUE!</v>
      </c>
      <c r="S24" s="59" t="e">
        <f>'2025년 제부도 통행시간표 (현장자료)'!S24-'2026년 제부도 통행시간표 (공표자료)'!S92</f>
        <v>#VALUE!</v>
      </c>
      <c r="T24" s="60" t="e">
        <f>'2025년 제부도 통행시간표 (현장자료)'!T24-'2026년 제부도 통행시간표 (공표자료)'!T92</f>
        <v>#VALUE!</v>
      </c>
    </row>
    <row r="25" spans="1:20" s="9" customFormat="1" ht="10.5" customHeight="1" x14ac:dyDescent="0.15">
      <c r="A25" s="29">
        <v>22</v>
      </c>
      <c r="B25" s="25" t="s">
        <v>7</v>
      </c>
      <c r="C25" s="66" t="e">
        <f>'2025년 제부도 통행시간표 (현장자료)'!C25-'2026년 제부도 통행시간표 (공표자료)'!C93</f>
        <v>#VALUE!</v>
      </c>
      <c r="D25" s="59"/>
      <c r="E25" s="59"/>
      <c r="F25" s="60" t="e">
        <f>'2025년 제부도 통행시간표 (현장자료)'!F25-'2026년 제부도 통행시간표 (공표자료)'!F93</f>
        <v>#VALUE!</v>
      </c>
      <c r="G25" s="19"/>
      <c r="H25" s="32">
        <v>22</v>
      </c>
      <c r="I25" s="27" t="s">
        <v>10</v>
      </c>
      <c r="J25" s="54" t="e">
        <f>'2025년 제부도 통행시간표 (현장자료)'!J25-'2026년 제부도 통행시간표 (공표자료)'!J93</f>
        <v>#VALUE!</v>
      </c>
      <c r="K25" s="68" t="e">
        <f>'2025년 제부도 통행시간표 (현장자료)'!K25-'2026년 제부도 통행시간표 (공표자료)'!K93</f>
        <v>#VALUE!</v>
      </c>
      <c r="L25" s="54" t="e">
        <f>'2025년 제부도 통행시간표 (현장자료)'!L25-'2026년 제부도 통행시간표 (공표자료)'!L93</f>
        <v>#VALUE!</v>
      </c>
      <c r="M25" s="57" t="e">
        <f>'2025년 제부도 통행시간표 (현장자료)'!M25-'2026년 제부도 통행시간표 (공표자료)'!M93</f>
        <v>#VALUE!</v>
      </c>
      <c r="N25" s="19"/>
      <c r="O25" s="29">
        <v>22</v>
      </c>
      <c r="P25" s="28" t="s">
        <v>6</v>
      </c>
      <c r="Q25" s="59" t="e">
        <f>'2025년 제부도 통행시간표 (현장자료)'!Q25-'2026년 제부도 통행시간표 (공표자료)'!Q93</f>
        <v>#VALUE!</v>
      </c>
      <c r="R25" s="59" t="e">
        <f>'2025년 제부도 통행시간표 (현장자료)'!R25-'2026년 제부도 통행시간표 (공표자료)'!R93</f>
        <v>#VALUE!</v>
      </c>
      <c r="S25" s="59" t="e">
        <f>'2025년 제부도 통행시간표 (현장자료)'!S25-'2026년 제부도 통행시간표 (공표자료)'!S93</f>
        <v>#VALUE!</v>
      </c>
      <c r="T25" s="60" t="e">
        <f>'2025년 제부도 통행시간표 (현장자료)'!T25-'2026년 제부도 통행시간표 (공표자료)'!T93</f>
        <v>#VALUE!</v>
      </c>
    </row>
    <row r="26" spans="1:20" s="9" customFormat="1" ht="10.5" customHeight="1" x14ac:dyDescent="0.15">
      <c r="A26" s="29">
        <v>23</v>
      </c>
      <c r="B26" s="25" t="s">
        <v>8</v>
      </c>
      <c r="C26" s="59" t="e">
        <f>'2025년 제부도 통행시간표 (현장자료)'!C26-'2026년 제부도 통행시간표 (공표자료)'!C94</f>
        <v>#VALUE!</v>
      </c>
      <c r="D26" s="59"/>
      <c r="E26" s="59"/>
      <c r="F26" s="60" t="e">
        <f>'2025년 제부도 통행시간표 (현장자료)'!F26-'2026년 제부도 통행시간표 (공표자료)'!F94</f>
        <v>#VALUE!</v>
      </c>
      <c r="G26" s="19"/>
      <c r="H26" s="32">
        <v>23</v>
      </c>
      <c r="I26" s="27" t="s">
        <v>11</v>
      </c>
      <c r="J26" s="54" t="e">
        <f>'2025년 제부도 통행시간표 (현장자료)'!J26-'2026년 제부도 통행시간표 (공표자료)'!J94</f>
        <v>#VALUE!</v>
      </c>
      <c r="K26" s="54" t="e">
        <f>'2025년 제부도 통행시간표 (현장자료)'!K26-'2026년 제부도 통행시간표 (공표자료)'!K94</f>
        <v>#VALUE!</v>
      </c>
      <c r="L26" s="54" t="e">
        <f>'2025년 제부도 통행시간표 (현장자료)'!L26-'2026년 제부도 통행시간표 (공표자료)'!L94</f>
        <v>#VALUE!</v>
      </c>
      <c r="M26" s="57" t="e">
        <f>'2025년 제부도 통행시간표 (현장자료)'!M26-'2026년 제부도 통행시간표 (공표자료)'!M94</f>
        <v>#VALUE!</v>
      </c>
      <c r="N26" s="19"/>
      <c r="O26" s="29">
        <v>23</v>
      </c>
      <c r="P26" s="28" t="s">
        <v>7</v>
      </c>
      <c r="Q26" s="59" t="e">
        <f>'2025년 제부도 통행시간표 (현장자료)'!Q26-'2026년 제부도 통행시간표 (공표자료)'!Q94</f>
        <v>#VALUE!</v>
      </c>
      <c r="R26" s="59" t="e">
        <f>'2025년 제부도 통행시간표 (현장자료)'!R26-'2026년 제부도 통행시간표 (공표자료)'!R94</f>
        <v>#VALUE!</v>
      </c>
      <c r="S26" s="59" t="e">
        <f>'2025년 제부도 통행시간표 (현장자료)'!S26-'2026년 제부도 통행시간표 (공표자료)'!S94</f>
        <v>#VALUE!</v>
      </c>
      <c r="T26" s="60">
        <f>'2025년 제부도 통행시간표 (현장자료)'!T26-'2026년 제부도 통행시간표 (공표자료)'!T94</f>
        <v>-250.81874999999999</v>
      </c>
    </row>
    <row r="27" spans="1:20" s="9" customFormat="1" ht="10.5" customHeight="1" x14ac:dyDescent="0.15">
      <c r="A27" s="29">
        <v>24</v>
      </c>
      <c r="B27" s="25" t="s">
        <v>9</v>
      </c>
      <c r="C27" s="59" t="e">
        <f>'2025년 제부도 통행시간표 (현장자료)'!C27-'2026년 제부도 통행시간표 (공표자료)'!C95</f>
        <v>#VALUE!</v>
      </c>
      <c r="D27" s="59"/>
      <c r="E27" s="59"/>
      <c r="F27" s="60" t="e">
        <f>'2025년 제부도 통행시간표 (현장자료)'!F27-'2026년 제부도 통행시간표 (공표자료)'!F95</f>
        <v>#VALUE!</v>
      </c>
      <c r="G27" s="19"/>
      <c r="H27" s="32">
        <v>24</v>
      </c>
      <c r="I27" s="27" t="s">
        <v>12</v>
      </c>
      <c r="J27" s="54" t="e">
        <f>'2025년 제부도 통행시간표 (현장자료)'!J27-'2026년 제부도 통행시간표 (공표자료)'!J95</f>
        <v>#VALUE!</v>
      </c>
      <c r="K27" s="54" t="e">
        <f>'2025년 제부도 통행시간표 (현장자료)'!K27-'2026년 제부도 통행시간표 (공표자료)'!K95</f>
        <v>#VALUE!</v>
      </c>
      <c r="L27" s="54" t="e">
        <f>'2025년 제부도 통행시간표 (현장자료)'!L27-'2026년 제부도 통행시간표 (공표자료)'!L95</f>
        <v>#VALUE!</v>
      </c>
      <c r="M27" s="57" t="e">
        <f>'2025년 제부도 통행시간표 (현장자료)'!M27-'2026년 제부도 통행시간표 (공표자료)'!M95</f>
        <v>#VALUE!</v>
      </c>
      <c r="N27" s="19"/>
      <c r="O27" s="29">
        <v>24</v>
      </c>
      <c r="P27" s="28" t="s">
        <v>8</v>
      </c>
      <c r="Q27" s="66">
        <f>'2025년 제부도 통행시간표 (현장자료)'!Q27-'2026년 제부도 통행시간표 (공표자료)'!Q95</f>
        <v>-330.6875</v>
      </c>
      <c r="R27" s="59" t="e">
        <f>'2025년 제부도 통행시간표 (현장자료)'!R27-'2026년 제부도 통행시간표 (공표자료)'!R95</f>
        <v>#VALUE!</v>
      </c>
      <c r="S27" s="59" t="e">
        <f>'2025년 제부도 통행시간표 (현장자료)'!S27-'2026년 제부도 통행시간표 (공표자료)'!S95</f>
        <v>#VALUE!</v>
      </c>
      <c r="T27" s="60">
        <f>'2025년 제부도 통행시간표 (현장자료)'!T27-'2026년 제부도 통행시간표 (공표자료)'!T95</f>
        <v>-232.79236111111112</v>
      </c>
    </row>
    <row r="28" spans="1:20" s="9" customFormat="1" ht="10.5" customHeight="1" x14ac:dyDescent="0.15">
      <c r="A28" s="29">
        <v>25</v>
      </c>
      <c r="B28" s="25" t="s">
        <v>10</v>
      </c>
      <c r="C28" s="59" t="e">
        <f>'2025년 제부도 통행시간표 (현장자료)'!C28-'2026년 제부도 통행시간표 (공표자료)'!C96</f>
        <v>#VALUE!</v>
      </c>
      <c r="D28" s="59" t="e">
        <f>'2025년 제부도 통행시간표 (현장자료)'!D28-'2026년 제부도 통행시간표 (공표자료)'!D96</f>
        <v>#VALUE!</v>
      </c>
      <c r="E28" s="66" t="e">
        <f>'2025년 제부도 통행시간표 (현장자료)'!E28-'2026년 제부도 통행시간표 (공표자료)'!E96</f>
        <v>#VALUE!</v>
      </c>
      <c r="F28" s="60" t="e">
        <f>'2025년 제부도 통행시간표 (현장자료)'!F28-'2026년 제부도 통행시간표 (공표자료)'!F96</f>
        <v>#VALUE!</v>
      </c>
      <c r="G28" s="19"/>
      <c r="H28" s="32">
        <v>25</v>
      </c>
      <c r="I28" s="27" t="s">
        <v>6</v>
      </c>
      <c r="J28" s="54" t="e">
        <f>'2025년 제부도 통행시간표 (현장자료)'!J28-'2026년 제부도 통행시간표 (공표자료)'!J96</f>
        <v>#VALUE!</v>
      </c>
      <c r="K28" s="54" t="e">
        <f>'2025년 제부도 통행시간표 (현장자료)'!K28-'2026년 제부도 통행시간표 (공표자료)'!K96</f>
        <v>#VALUE!</v>
      </c>
      <c r="L28" s="54" t="e">
        <f>'2025년 제부도 통행시간표 (현장자료)'!L28-'2026년 제부도 통행시간표 (공표자료)'!L96</f>
        <v>#VALUE!</v>
      </c>
      <c r="M28" s="57">
        <f>'2025년 제부도 통행시간표 (현장자료)'!M28-'2026년 제부도 통행시간표 (공표자료)'!M96</f>
        <v>-243.80555555555554</v>
      </c>
      <c r="N28" s="19"/>
      <c r="O28" s="29">
        <v>25</v>
      </c>
      <c r="P28" s="28" t="s">
        <v>9</v>
      </c>
      <c r="Q28" s="59">
        <f>'2025년 제부도 통행시간표 (현장자료)'!Q28-'2026년 제부도 통행시간표 (공표자료)'!Q96</f>
        <v>-455.68680555555557</v>
      </c>
      <c r="R28" s="59">
        <f>'2025년 제부도 통행시간표 (현장자료)'!R28-'2026년 제부도 통행시간표 (공표자료)'!R96</f>
        <v>-1458.2902777777779</v>
      </c>
      <c r="S28" s="59">
        <f>'2025년 제부도 통행시간표 (현장자료)'!S28-'2026년 제부도 통행시간표 (공표자료)'!S96</f>
        <v>-1701.1652777777779</v>
      </c>
      <c r="T28" s="60">
        <f>'2025년 제부도 통행시간표 (현장자료)'!T28-'2026년 제부도 통행시간표 (공표자료)'!T96</f>
        <v>-249.75902777777779</v>
      </c>
    </row>
    <row r="29" spans="1:20" s="9" customFormat="1" ht="10.5" customHeight="1" x14ac:dyDescent="0.15">
      <c r="A29" s="29">
        <v>26</v>
      </c>
      <c r="B29" s="25" t="s">
        <v>11</v>
      </c>
      <c r="C29" s="59" t="e">
        <f>'2025년 제부도 통행시간표 (현장자료)'!C29-'2026년 제부도 통행시간표 (공표자료)'!C97</f>
        <v>#VALUE!</v>
      </c>
      <c r="D29" s="59" t="e">
        <f>'2025년 제부도 통행시간표 (현장자료)'!D29-'2026년 제부도 통행시간표 (공표자료)'!D97</f>
        <v>#VALUE!</v>
      </c>
      <c r="E29" s="59" t="e">
        <f>'2025년 제부도 통행시간표 (현장자료)'!E29-'2026년 제부도 통행시간표 (공표자료)'!E97</f>
        <v>#VALUE!</v>
      </c>
      <c r="F29" s="60">
        <f>'2025년 제부도 통행시간표 (현장자료)'!F29-'2026년 제부도 통행시간표 (공표자료)'!F97</f>
        <v>-303.8125</v>
      </c>
      <c r="G29" s="19"/>
      <c r="H29" s="32">
        <v>26</v>
      </c>
      <c r="I29" s="27" t="s">
        <v>7</v>
      </c>
      <c r="J29" s="54">
        <f>'2025년 제부도 통행시간표 (현장자료)'!J29-'2026년 제부도 통행시간표 (공표자료)'!J97</f>
        <v>-445.66458333333333</v>
      </c>
      <c r="K29" s="54" t="e">
        <f>'2025년 제부도 통행시간표 (현장자료)'!K29-'2026년 제부도 통행시간표 (공표자료)'!K97</f>
        <v>#VALUE!</v>
      </c>
      <c r="L29" s="54" t="e">
        <f>'2025년 제부도 통행시간표 (현장자료)'!L29-'2026년 제부도 통행시간표 (공표자료)'!L97</f>
        <v>#VALUE!</v>
      </c>
      <c r="M29" s="57">
        <f>'2025년 제부도 통행시간표 (현장자료)'!M29-'2026년 제부도 통행시간표 (공표자료)'!M97</f>
        <v>-250.77708333333334</v>
      </c>
      <c r="N29" s="19"/>
      <c r="O29" s="29">
        <v>26</v>
      </c>
      <c r="P29" s="28" t="s">
        <v>10</v>
      </c>
      <c r="Q29" s="59">
        <f>'2025년 제부도 통행시간표 (현장자료)'!Q29-'2026년 제부도 통행시간표 (공표자료)'!Q97</f>
        <v>-543.68611111111113</v>
      </c>
      <c r="R29" s="59">
        <f>'2025년 제부도 통행시간표 (현장자료)'!R29-'2026년 제부도 통행시간표 (공표자료)'!R97</f>
        <v>-1508.2638888888889</v>
      </c>
      <c r="S29" s="59">
        <f>'2025년 제부도 통행시간표 (현장자료)'!S29-'2026년 제부도 통행시간표 (공표자료)'!S97</f>
        <v>-1799.1541666666667</v>
      </c>
      <c r="T29" s="60"/>
    </row>
    <row r="30" spans="1:20" s="9" customFormat="1" ht="10.5" customHeight="1" x14ac:dyDescent="0.15">
      <c r="A30" s="29">
        <v>27</v>
      </c>
      <c r="B30" s="25" t="s">
        <v>12</v>
      </c>
      <c r="C30" s="59">
        <f>'2025년 제부도 통행시간표 (현장자료)'!C30-'2026년 제부도 통행시간표 (공표자료)'!C98</f>
        <v>-342.65277777777777</v>
      </c>
      <c r="D30" s="59" t="e">
        <f>'2025년 제부도 통행시간표 (현장자료)'!D30-'2026년 제부도 통행시간표 (공표자료)'!D98</f>
        <v>#VALUE!</v>
      </c>
      <c r="E30" s="59" t="e">
        <f>'2025년 제부도 통행시간표 (현장자료)'!E30-'2026년 제부도 통행시간표 (공표자료)'!E98</f>
        <v>#VALUE!</v>
      </c>
      <c r="F30" s="60">
        <f>'2025년 제부도 통행시간표 (현장자료)'!F30-'2026년 제부도 통행시간표 (공표자료)'!F98</f>
        <v>-254.78472222222223</v>
      </c>
      <c r="G30" s="19"/>
      <c r="H30" s="32">
        <v>27</v>
      </c>
      <c r="I30" s="27" t="s">
        <v>8</v>
      </c>
      <c r="J30" s="54">
        <f>'2025년 제부도 통행시간표 (현장자료)'!J30-'2026년 제부도 통행시간표 (공표자료)'!J98</f>
        <v>-544.65902777777774</v>
      </c>
      <c r="K30" s="54">
        <f>'2025년 제부도 통행시간표 (현장자료)'!K30-'2026년 제부도 통행시간표 (공표자료)'!K98</f>
        <v>-1540.2638888888889</v>
      </c>
      <c r="L30" s="54">
        <f>'2025년 제부도 통행시간표 (현장자료)'!L30-'2026년 제부도 통행시간표 (공표자료)'!L98</f>
        <v>-1712.1486111111112</v>
      </c>
      <c r="M30" s="57">
        <f>'2025년 제부도 통행시간표 (현장자료)'!M30-'2026년 제부도 통행시간표 (공표자료)'!M98</f>
        <v>-311.75</v>
      </c>
      <c r="N30" s="19"/>
      <c r="O30" s="29">
        <v>27</v>
      </c>
      <c r="P30" s="28" t="s">
        <v>11</v>
      </c>
      <c r="Q30" s="59"/>
      <c r="R30" s="59">
        <f>'2025년 제부도 통행시간표 (현장자료)'!R30-'2026년 제부도 통행시간표 (공표자료)'!R98</f>
        <v>-1530.2368055555555</v>
      </c>
      <c r="S30" s="59">
        <f>'2025년 제부도 통행시간표 (현장자료)'!S30-'2026년 제부도 통행시간표 (공표자료)'!S98</f>
        <v>-1846.1451388888888</v>
      </c>
      <c r="T30" s="60"/>
    </row>
    <row r="31" spans="1:20" s="9" customFormat="1" ht="10.5" customHeight="1" x14ac:dyDescent="0.15">
      <c r="A31" s="29">
        <v>28</v>
      </c>
      <c r="B31" s="25" t="s">
        <v>6</v>
      </c>
      <c r="C31" s="59">
        <f>'2025년 제부도 통행시간표 (현장자료)'!C31-'2026년 제부도 통행시간표 (공표자료)'!C99</f>
        <v>-515.63333333333333</v>
      </c>
      <c r="D31" s="59" t="e">
        <f>'2025년 제부도 통행시간표 (현장자료)'!D31-'2026년 제부도 통행시간표 (공표자료)'!D99</f>
        <v>#VALUE!</v>
      </c>
      <c r="E31" s="59" t="e">
        <f>'2025년 제부도 통행시간표 (현장자료)'!E31-'2026년 제부도 통행시간표 (공표자료)'!E99</f>
        <v>#VALUE!</v>
      </c>
      <c r="F31" s="60">
        <f>'2025년 제부도 통행시간표 (현장자료)'!F31-'2026년 제부도 통행시간표 (공표자료)'!F99</f>
        <v>-311.75694444444446</v>
      </c>
      <c r="G31" s="19"/>
      <c r="H31" s="32">
        <v>28</v>
      </c>
      <c r="I31" s="27" t="s">
        <v>9</v>
      </c>
      <c r="J31" s="54">
        <f>'2025년 제부도 통행시간표 (현장자료)'!J31-'2026년 제부도 통행시간표 (공표자료)'!J99</f>
        <v>-627.64513888888894</v>
      </c>
      <c r="K31" s="54">
        <f>'2025년 제부도 통행시간표 (현장자료)'!K31-'2026년 제부도 통행시간표 (공표자료)'!K99</f>
        <v>-1548.2388888888888</v>
      </c>
      <c r="L31" s="54">
        <f>'2025년 제부도 통행시간표 (현장자료)'!L31-'2026년 제부도 통행시간표 (공표자료)'!L99</f>
        <v>-1811.1340277777779</v>
      </c>
      <c r="M31" s="57">
        <f>'2025년 제부도 통행시간표 (현장자료)'!M31-'2026년 제부도 통행시간표 (공표자료)'!M99</f>
        <v>-337.72083333333336</v>
      </c>
      <c r="N31" s="19"/>
      <c r="O31" s="29">
        <v>28</v>
      </c>
      <c r="P31" s="28" t="s">
        <v>12</v>
      </c>
      <c r="Q31" s="59"/>
      <c r="R31" s="59"/>
      <c r="S31" s="59"/>
      <c r="T31" s="60"/>
    </row>
    <row r="32" spans="1:20" s="9" customFormat="1" ht="10.5" customHeight="1" x14ac:dyDescent="0.15">
      <c r="A32" s="29">
        <v>29</v>
      </c>
      <c r="B32" s="25" t="s">
        <v>7</v>
      </c>
      <c r="C32" s="59">
        <f>'2025년 제부도 통행시간표 (현장자료)'!C32-'2026년 제부도 통행시간표 (공표자료)'!C100</f>
        <v>-609.62222222222226</v>
      </c>
      <c r="D32" s="59" t="e">
        <f>'2025년 제부도 통행시간표 (현장자료)'!D32-'2026년 제부도 통행시간표 (공표자료)'!D100</f>
        <v>#VALUE!</v>
      </c>
      <c r="E32" s="59" t="e">
        <f>'2025년 제부도 통행시간표 (현장자료)'!E32-'2026년 제부도 통행시간표 (공표자료)'!E100</f>
        <v>#VALUE!</v>
      </c>
      <c r="F32" s="60">
        <f>'2025년 제부도 통행시간표 (현장자료)'!F32-'2026년 제부도 통행시간표 (공표자료)'!F100</f>
        <v>-335.73263888888891</v>
      </c>
      <c r="G32" s="19"/>
      <c r="H32" s="32">
        <v>29</v>
      </c>
      <c r="I32" s="27" t="s">
        <v>10</v>
      </c>
      <c r="J32" s="54">
        <f>'2025년 제부도 통행시간표 (현장자료)'!J32-'2026년 제부도 통행시간표 (공표자료)'!J100</f>
        <v>-703.64861111111111</v>
      </c>
      <c r="K32" s="54">
        <f>'2025년 제부도 통행시간표 (현장자료)'!K32-'2026년 제부도 통행시간표 (공표자료)'!K100</f>
        <v>-1608.1972222222223</v>
      </c>
      <c r="L32" s="54">
        <f>'2025년 제부도 통행시간표 (현장자료)'!L32-'2026년 제부도 통행시간표 (공표자료)'!L100</f>
        <v>-1857.1416666666667</v>
      </c>
      <c r="M32" s="57"/>
      <c r="N32" s="19"/>
      <c r="O32" s="29">
        <v>29</v>
      </c>
      <c r="P32" s="28" t="s">
        <v>6</v>
      </c>
      <c r="Q32" s="59"/>
      <c r="R32" s="59"/>
      <c r="S32" s="59"/>
      <c r="T32" s="60"/>
    </row>
    <row r="33" spans="1:20" s="9" customFormat="1" ht="10.5" customHeight="1" x14ac:dyDescent="0.15">
      <c r="A33" s="29">
        <v>30</v>
      </c>
      <c r="B33" s="25" t="s">
        <v>8</v>
      </c>
      <c r="C33" s="59">
        <f>'2025년 제부도 통행시간표 (현장자료)'!C33-'2026년 제부도 통행시간표 (공표자료)'!C101</f>
        <v>-652.60625000000005</v>
      </c>
      <c r="D33" s="66">
        <f>'2025년 제부도 통행시간표 (현장자료)'!D33-'2026년 제부도 통행시간표 (공표자료)'!D101</f>
        <v>-1633.2</v>
      </c>
      <c r="E33" s="66">
        <f>'2025년 제부도 통행시간표 (현장자료)'!E33-'2026년 제부도 통행시간표 (공표자료)'!E101</f>
        <v>-1807.1152777777777</v>
      </c>
      <c r="F33" s="60">
        <f>'2025년 제부도 통행시간표 (현장자료)'!F33-'2026년 제부도 통행시간표 (공표자료)'!F101</f>
        <v>-402.69305555555553</v>
      </c>
      <c r="G33" s="19"/>
      <c r="H33" s="32">
        <v>30</v>
      </c>
      <c r="I33" s="27" t="s">
        <v>11</v>
      </c>
      <c r="J33" s="54"/>
      <c r="K33" s="54"/>
      <c r="L33" s="54"/>
      <c r="M33" s="57"/>
      <c r="N33" s="19"/>
      <c r="O33" s="29">
        <v>30</v>
      </c>
      <c r="P33" s="28" t="s">
        <v>7</v>
      </c>
      <c r="Q33" s="59"/>
      <c r="R33" s="59"/>
      <c r="S33" s="59"/>
      <c r="T33" s="60"/>
    </row>
    <row r="34" spans="1:20" s="9" customFormat="1" ht="10.5" customHeight="1" thickBot="1" x14ac:dyDescent="0.2">
      <c r="A34" s="39">
        <v>31</v>
      </c>
      <c r="B34" s="50" t="s">
        <v>9</v>
      </c>
      <c r="C34" s="64">
        <f>'2025년 제부도 통행시간표 (현장자료)'!C34-'2026년 제부도 통행시간표 (공표자료)'!C102</f>
        <v>-729.60555555555561</v>
      </c>
      <c r="D34" s="64"/>
      <c r="E34" s="64"/>
      <c r="F34" s="65"/>
      <c r="G34" s="19"/>
      <c r="H34" s="40">
        <v>31</v>
      </c>
      <c r="I34" s="41" t="s">
        <v>12</v>
      </c>
      <c r="J34" s="58"/>
      <c r="K34" s="58"/>
      <c r="L34" s="58"/>
      <c r="M34" s="75"/>
      <c r="N34" s="19"/>
      <c r="O34" s="39"/>
      <c r="P34" s="41"/>
      <c r="Q34" s="69"/>
      <c r="R34" s="69"/>
      <c r="S34" s="69"/>
      <c r="T34" s="70"/>
    </row>
    <row r="35" spans="1:20" ht="18" customHeight="1" thickBot="1" x14ac:dyDescent="0.2">
      <c r="A35" s="239" t="s">
        <v>16</v>
      </c>
      <c r="B35" s="239"/>
      <c r="C35" s="239"/>
      <c r="D35" s="239"/>
      <c r="E35" s="239"/>
      <c r="F35" s="239"/>
      <c r="G35" s="20"/>
      <c r="H35" s="239" t="s">
        <v>17</v>
      </c>
      <c r="I35" s="239"/>
      <c r="J35" s="239"/>
      <c r="K35" s="239"/>
      <c r="L35" s="239"/>
      <c r="M35" s="239"/>
      <c r="N35" s="20"/>
      <c r="O35" s="239" t="s">
        <v>18</v>
      </c>
      <c r="P35" s="239"/>
      <c r="Q35" s="239"/>
      <c r="R35" s="239"/>
      <c r="S35" s="239"/>
      <c r="T35" s="239"/>
    </row>
    <row r="36" spans="1:20" ht="12.75" customHeight="1" x14ac:dyDescent="0.15">
      <c r="A36" s="233" t="s">
        <v>0</v>
      </c>
      <c r="B36" s="234"/>
      <c r="C36" s="237" t="s">
        <v>1</v>
      </c>
      <c r="D36" s="237"/>
      <c r="E36" s="237" t="s">
        <v>2</v>
      </c>
      <c r="F36" s="238"/>
      <c r="G36" s="18"/>
      <c r="H36" s="233" t="s">
        <v>0</v>
      </c>
      <c r="I36" s="234"/>
      <c r="J36" s="237" t="s">
        <v>1</v>
      </c>
      <c r="K36" s="237"/>
      <c r="L36" s="237" t="s">
        <v>2</v>
      </c>
      <c r="M36" s="238"/>
      <c r="N36" s="18"/>
      <c r="O36" s="233" t="s">
        <v>0</v>
      </c>
      <c r="P36" s="234"/>
      <c r="Q36" s="237" t="s">
        <v>1</v>
      </c>
      <c r="R36" s="237"/>
      <c r="S36" s="237" t="s">
        <v>2</v>
      </c>
      <c r="T36" s="238"/>
    </row>
    <row r="37" spans="1:20" ht="21.75" customHeight="1" thickBot="1" x14ac:dyDescent="0.2">
      <c r="A37" s="235"/>
      <c r="B37" s="236"/>
      <c r="C37" s="22" t="s">
        <v>3</v>
      </c>
      <c r="D37" s="22" t="s">
        <v>4</v>
      </c>
      <c r="E37" s="22" t="s">
        <v>3</v>
      </c>
      <c r="F37" s="23" t="s">
        <v>4</v>
      </c>
      <c r="G37" s="18"/>
      <c r="H37" s="235"/>
      <c r="I37" s="236"/>
      <c r="J37" s="22" t="s">
        <v>3</v>
      </c>
      <c r="K37" s="22" t="s">
        <v>4</v>
      </c>
      <c r="L37" s="22" t="s">
        <v>3</v>
      </c>
      <c r="M37" s="23" t="s">
        <v>4</v>
      </c>
      <c r="N37" s="18"/>
      <c r="O37" s="235"/>
      <c r="P37" s="236"/>
      <c r="Q37" s="22" t="s">
        <v>3</v>
      </c>
      <c r="R37" s="22" t="s">
        <v>4</v>
      </c>
      <c r="S37" s="22" t="s">
        <v>3</v>
      </c>
      <c r="T37" s="23" t="s">
        <v>4</v>
      </c>
    </row>
    <row r="38" spans="1:20" s="9" customFormat="1" ht="11.25" customHeight="1" x14ac:dyDescent="0.15">
      <c r="A38" s="24">
        <v>1</v>
      </c>
      <c r="B38" s="28" t="s">
        <v>8</v>
      </c>
      <c r="C38" s="59"/>
      <c r="D38" s="59"/>
      <c r="E38" s="59"/>
      <c r="F38" s="60"/>
      <c r="G38" s="19"/>
      <c r="H38" s="24">
        <v>1</v>
      </c>
      <c r="I38" s="28" t="s">
        <v>11</v>
      </c>
      <c r="J38" s="81"/>
      <c r="K38" s="81"/>
      <c r="L38" s="81"/>
      <c r="M38" s="83"/>
      <c r="N38" s="19"/>
      <c r="O38" s="24">
        <v>1</v>
      </c>
      <c r="P38" s="27" t="s">
        <v>6</v>
      </c>
      <c r="Q38" s="44"/>
      <c r="R38" s="45"/>
      <c r="S38" s="45"/>
      <c r="T38" s="46"/>
    </row>
    <row r="39" spans="1:20" s="9" customFormat="1" ht="11.25" customHeight="1" x14ac:dyDescent="0.15">
      <c r="A39" s="29">
        <v>2</v>
      </c>
      <c r="B39" s="28" t="s">
        <v>9</v>
      </c>
      <c r="C39" s="59"/>
      <c r="D39" s="59"/>
      <c r="E39" s="59"/>
      <c r="F39" s="60"/>
      <c r="G39" s="19"/>
      <c r="H39" s="29">
        <v>2</v>
      </c>
      <c r="I39" s="28" t="s">
        <v>12</v>
      </c>
      <c r="J39" s="82"/>
      <c r="K39" s="82"/>
      <c r="L39" s="82"/>
      <c r="M39" s="84"/>
      <c r="N39" s="19"/>
      <c r="O39" s="29">
        <v>2</v>
      </c>
      <c r="P39" s="27" t="s">
        <v>7</v>
      </c>
      <c r="Q39" s="33"/>
      <c r="R39" s="34"/>
      <c r="S39" s="34"/>
      <c r="T39" s="35"/>
    </row>
    <row r="40" spans="1:20" s="9" customFormat="1" ht="11.25" customHeight="1" x14ac:dyDescent="0.15">
      <c r="A40" s="29">
        <v>3</v>
      </c>
      <c r="B40" s="28" t="s">
        <v>10</v>
      </c>
      <c r="C40" s="59"/>
      <c r="D40" s="59"/>
      <c r="E40" s="59"/>
      <c r="F40" s="60"/>
      <c r="G40" s="19"/>
      <c r="H40" s="29">
        <v>3</v>
      </c>
      <c r="I40" s="28" t="s">
        <v>6</v>
      </c>
      <c r="J40" s="82"/>
      <c r="K40" s="82" t="e">
        <f>'2025년 제부도 통행시간표 (현장자료)'!K40-'2026년 제부도 통행시간표 (공표자료)'!K108</f>
        <v>#VALUE!</v>
      </c>
      <c r="L40" s="82" t="e">
        <f>'2025년 제부도 통행시간표 (현장자료)'!L40-'2026년 제부도 통행시간표 (공표자료)'!L108</f>
        <v>#VALUE!</v>
      </c>
      <c r="M40" s="85" t="e">
        <f>'2025년 제부도 통행시간표 (현장자료)'!M40-'2026년 제부도 통행시간표 (공표자료)'!M108</f>
        <v>#VALUE!</v>
      </c>
      <c r="N40" s="19"/>
      <c r="O40" s="29">
        <v>3</v>
      </c>
      <c r="P40" s="27" t="s">
        <v>8</v>
      </c>
      <c r="Q40" s="33"/>
      <c r="R40" s="34"/>
      <c r="S40" s="34"/>
      <c r="T40" s="35"/>
    </row>
    <row r="41" spans="1:20" s="9" customFormat="1" ht="11.25" customHeight="1" x14ac:dyDescent="0.15">
      <c r="A41" s="29">
        <v>4</v>
      </c>
      <c r="B41" s="28" t="s">
        <v>11</v>
      </c>
      <c r="C41" s="59"/>
      <c r="D41" s="59"/>
      <c r="E41" s="59"/>
      <c r="F41" s="60" t="e">
        <f>'2025년 제부도 통행시간표 (현장자료)'!F41-'2026년 제부도 통행시간표 (공표자료)'!F109</f>
        <v>#VALUE!</v>
      </c>
      <c r="G41" s="19"/>
      <c r="H41" s="29">
        <v>4</v>
      </c>
      <c r="I41" s="28" t="s">
        <v>7</v>
      </c>
      <c r="J41" s="86" t="e">
        <f>'2025년 제부도 통행시간표 (현장자료)'!J41-'2026년 제부도 통행시간표 (공표자료)'!J109</f>
        <v>#VALUE!</v>
      </c>
      <c r="K41" s="82" t="e">
        <f>'2025년 제부도 통행시간표 (현장자료)'!K41-'2026년 제부도 통행시간표 (공표자료)'!K109</f>
        <v>#VALUE!</v>
      </c>
      <c r="L41" s="82" t="e">
        <f>'2025년 제부도 통행시간표 (현장자료)'!L41-'2026년 제부도 통행시간표 (공표자료)'!L109</f>
        <v>#VALUE!</v>
      </c>
      <c r="M41" s="84" t="e">
        <f>'2025년 제부도 통행시간표 (현장자료)'!M41-'2026년 제부도 통행시간표 (공표자료)'!M109</f>
        <v>#VALUE!</v>
      </c>
      <c r="N41" s="19"/>
      <c r="O41" s="29">
        <v>4</v>
      </c>
      <c r="P41" s="27" t="s">
        <v>9</v>
      </c>
      <c r="Q41" s="33"/>
      <c r="R41" s="34"/>
      <c r="S41" s="34"/>
      <c r="T41" s="35"/>
    </row>
    <row r="42" spans="1:20" s="9" customFormat="1" ht="11.25" customHeight="1" x14ac:dyDescent="0.15">
      <c r="A42" s="29">
        <v>5</v>
      </c>
      <c r="B42" s="28" t="s">
        <v>12</v>
      </c>
      <c r="C42" s="59" t="e">
        <f>'2025년 제부도 통행시간표 (현장자료)'!C42-'2026년 제부도 통행시간표 (공표자료)'!C110</f>
        <v>#VALUE!</v>
      </c>
      <c r="D42" s="59" t="e">
        <f>'2025년 제부도 통행시간표 (현장자료)'!D42-'2026년 제부도 통행시간표 (공표자료)'!D110</f>
        <v>#VALUE!</v>
      </c>
      <c r="E42" s="59" t="e">
        <f>'2025년 제부도 통행시간표 (현장자료)'!E42-'2026년 제부도 통행시간표 (공표자료)'!E110</f>
        <v>#VALUE!</v>
      </c>
      <c r="F42" s="60" t="e">
        <f>'2025년 제부도 통행시간표 (현장자료)'!F42-'2026년 제부도 통행시간표 (공표자료)'!F110</f>
        <v>#VALUE!</v>
      </c>
      <c r="G42" s="19"/>
      <c r="H42" s="29">
        <v>5</v>
      </c>
      <c r="I42" s="28" t="s">
        <v>8</v>
      </c>
      <c r="J42" s="82" t="e">
        <f>'2025년 제부도 통행시간표 (현장자료)'!J42-'2026년 제부도 통행시간표 (공표자료)'!J110</f>
        <v>#VALUE!</v>
      </c>
      <c r="K42" s="82" t="e">
        <f>'2025년 제부도 통행시간표 (현장자료)'!K42-'2026년 제부도 통행시간표 (공표자료)'!K110</f>
        <v>#VALUE!</v>
      </c>
      <c r="L42" s="82" t="e">
        <f>'2025년 제부도 통행시간표 (현장자료)'!L42-'2026년 제부도 통행시간표 (공표자료)'!L110</f>
        <v>#VALUE!</v>
      </c>
      <c r="M42" s="84" t="e">
        <f>'2025년 제부도 통행시간표 (현장자료)'!M42-'2026년 제부도 통행시간표 (공표자료)'!M110</f>
        <v>#VALUE!</v>
      </c>
      <c r="N42" s="19"/>
      <c r="O42" s="29">
        <v>5</v>
      </c>
      <c r="P42" s="27" t="s">
        <v>10</v>
      </c>
      <c r="Q42" s="33"/>
      <c r="R42" s="34"/>
      <c r="S42" s="34"/>
      <c r="T42" s="35"/>
    </row>
    <row r="43" spans="1:20" s="9" customFormat="1" ht="11.25" customHeight="1" x14ac:dyDescent="0.15">
      <c r="A43" s="29">
        <v>6</v>
      </c>
      <c r="B43" s="28" t="s">
        <v>6</v>
      </c>
      <c r="C43" s="59" t="e">
        <f>'2025년 제부도 통행시간표 (현장자료)'!C43-'2026년 제부도 통행시간표 (공표자료)'!C111</f>
        <v>#VALUE!</v>
      </c>
      <c r="D43" s="59" t="e">
        <f>'2025년 제부도 통행시간표 (현장자료)'!D43-'2026년 제부도 통행시간표 (공표자료)'!D111</f>
        <v>#VALUE!</v>
      </c>
      <c r="E43" s="59" t="e">
        <f>'2025년 제부도 통행시간표 (현장자료)'!E43-'2026년 제부도 통행시간표 (공표자료)'!E111</f>
        <v>#VALUE!</v>
      </c>
      <c r="F43" s="60" t="e">
        <f>'2025년 제부도 통행시간표 (현장자료)'!F43-'2026년 제부도 통행시간표 (공표자료)'!F111</f>
        <v>#VALUE!</v>
      </c>
      <c r="G43" s="19"/>
      <c r="H43" s="29">
        <v>6</v>
      </c>
      <c r="I43" s="28" t="s">
        <v>9</v>
      </c>
      <c r="J43" s="82" t="e">
        <f>'2025년 제부도 통행시간표 (현장자료)'!J43-'2026년 제부도 통행시간표 (공표자료)'!J111</f>
        <v>#VALUE!</v>
      </c>
      <c r="K43" s="86">
        <f>'2025년 제부도 통행시간표 (현장자료)'!K43-'2026년 제부도 통행시간표 (공표자료)'!K111</f>
        <v>-1404.3777777777777</v>
      </c>
      <c r="L43" s="82">
        <f>'2025년 제부도 통행시간표 (현장자료)'!L43-'2026년 제부도 통행시간표 (공표자료)'!L111</f>
        <v>-1531.2104166666666</v>
      </c>
      <c r="M43" s="85">
        <f>'2025년 제부도 통행시간표 (현장자료)'!M43-'2026년 제부도 통행시간표 (공표자료)'!M111</f>
        <v>-225.83541666666667</v>
      </c>
      <c r="N43" s="19"/>
      <c r="O43" s="29">
        <v>6</v>
      </c>
      <c r="P43" s="27" t="s">
        <v>11</v>
      </c>
      <c r="Q43" s="33"/>
      <c r="R43" s="34"/>
      <c r="S43" s="34"/>
      <c r="T43" s="35"/>
    </row>
    <row r="44" spans="1:20" s="9" customFormat="1" ht="11.25" customHeight="1" x14ac:dyDescent="0.15">
      <c r="A44" s="29">
        <v>7</v>
      </c>
      <c r="B44" s="28" t="s">
        <v>7</v>
      </c>
      <c r="C44" s="59" t="e">
        <f>'2025년 제부도 통행시간표 (현장자료)'!C44-'2026년 제부도 통행시간표 (공표자료)'!C112</f>
        <v>#VALUE!</v>
      </c>
      <c r="D44" s="59" t="e">
        <f>'2025년 제부도 통행시간표 (현장자료)'!D44-'2026년 제부도 통행시간표 (공표자료)'!D112</f>
        <v>#VALUE!</v>
      </c>
      <c r="E44" s="59" t="e">
        <f>'2025년 제부도 통행시간표 (현장자료)'!E44-'2026년 제부도 통행시간표 (공표자료)'!E112</f>
        <v>#VALUE!</v>
      </c>
      <c r="F44" s="60">
        <f>'2025년 제부도 통행시간표 (현장자료)'!F44-'2026년 제부도 통행시간표 (공표자료)'!F112</f>
        <v>-144.85902777777778</v>
      </c>
      <c r="G44" s="19"/>
      <c r="H44" s="29">
        <v>7</v>
      </c>
      <c r="I44" s="28" t="s">
        <v>10</v>
      </c>
      <c r="J44" s="82">
        <f>'2025년 제부도 통행시간표 (현장자료)'!J44-'2026년 제부도 통행시간표 (공표자료)'!J112</f>
        <v>-340.73541666666665</v>
      </c>
      <c r="K44" s="82">
        <f>'2025년 제부도 통행시간표 (현장자료)'!K44-'2026년 제부도 통행시간표 (공표자료)'!K112</f>
        <v>-1413.3402777777778</v>
      </c>
      <c r="L44" s="82">
        <f>'2025년 제부도 통행시간표 (현장자료)'!L44-'2026년 제부도 통행시간표 (공표자료)'!L112</f>
        <v>-1647.1770833333333</v>
      </c>
      <c r="M44" s="85">
        <f>'2025년 제부도 통행시간표 (현장자료)'!M44-'2026년 제부도 통행시간표 (공표자료)'!M112</f>
        <v>-253.79930555555555</v>
      </c>
      <c r="N44" s="19"/>
      <c r="O44" s="29">
        <v>7</v>
      </c>
      <c r="P44" s="27" t="s">
        <v>12</v>
      </c>
      <c r="Q44" s="33"/>
      <c r="R44" s="34"/>
      <c r="S44" s="34"/>
      <c r="T44" s="35"/>
    </row>
    <row r="45" spans="1:20" s="9" customFormat="1" ht="11.25" customHeight="1" x14ac:dyDescent="0.15">
      <c r="A45" s="29">
        <v>8</v>
      </c>
      <c r="B45" s="28" t="s">
        <v>8</v>
      </c>
      <c r="C45" s="59">
        <f>'2025년 제부도 통행시간표 (현장자료)'!C45-'2026년 제부도 통행시간표 (공표자료)'!C113</f>
        <v>-404.72569444444446</v>
      </c>
      <c r="D45" s="66">
        <f>'2025년 제부도 통행시간표 (현장자료)'!D45-'2026년 제부도 통행시간표 (공표자료)'!D113</f>
        <v>-1421.3611111111111</v>
      </c>
      <c r="E45" s="59">
        <f>'2025년 제부도 통행시간표 (현장자료)'!E45-'2026년 제부도 통행시간표 (공표자료)'!E113</f>
        <v>-1607.1979166666667</v>
      </c>
      <c r="F45" s="60">
        <f>'2025년 제부도 통행시간표 (현장자료)'!F45-'2026년 제부도 통행시간표 (공표자료)'!F113</f>
        <v>-210.83472222222221</v>
      </c>
      <c r="G45" s="19"/>
      <c r="H45" s="29">
        <v>8</v>
      </c>
      <c r="I45" s="28" t="s">
        <v>11</v>
      </c>
      <c r="J45" s="82">
        <f>'2025년 제부도 통행시간표 (현장자료)'!J45-'2026년 제부도 통행시간표 (공표자료)'!J113</f>
        <v>-429.70902777777781</v>
      </c>
      <c r="K45" s="86">
        <f>'2025년 제부도 통행시간표 (현장자료)'!K45-'2026년 제부도 통행시간표 (공표자료)'!K113</f>
        <v>-1439.3159722222222</v>
      </c>
      <c r="L45" s="82">
        <f>'2025년 제부도 통행시간표 (현장자료)'!L45-'2026년 제부도 통행시간표 (공표자료)'!L113</f>
        <v>-1738.1451388888888</v>
      </c>
      <c r="M45" s="85"/>
      <c r="N45" s="19"/>
      <c r="O45" s="29">
        <v>8</v>
      </c>
      <c r="P45" s="27" t="s">
        <v>6</v>
      </c>
      <c r="Q45" s="33"/>
      <c r="R45" s="34"/>
      <c r="S45" s="34"/>
      <c r="T45" s="35"/>
    </row>
    <row r="46" spans="1:20" s="9" customFormat="1" ht="11.25" customHeight="1" x14ac:dyDescent="0.15">
      <c r="A46" s="29">
        <v>9</v>
      </c>
      <c r="B46" s="28" t="s">
        <v>9</v>
      </c>
      <c r="C46" s="59">
        <f>'2025년 제부도 통행시간표 (현장자료)'!C46-'2026년 제부도 통행시간표 (공표자료)'!C114</f>
        <v>-502.70069444444442</v>
      </c>
      <c r="D46" s="66">
        <f>'2025년 제부도 통행시간표 (현장자료)'!D46-'2026년 제부도 통행시간표 (공표자료)'!D114</f>
        <v>-1430.3354166666666</v>
      </c>
      <c r="E46" s="59">
        <f>'2025년 제부도 통행시간표 (현장자료)'!E46-'2026년 제부도 통행시간표 (공표자료)'!E114</f>
        <v>-1720.1618055555555</v>
      </c>
      <c r="F46" s="71">
        <f>'2025년 제부도 통행시간표 (현장자료)'!F46-'2026년 제부도 통행시간표 (공표자료)'!F114</f>
        <v>-243.8125</v>
      </c>
      <c r="G46" s="19"/>
      <c r="H46" s="29">
        <v>9</v>
      </c>
      <c r="I46" s="28" t="s">
        <v>12</v>
      </c>
      <c r="J46" s="86"/>
      <c r="K46" s="86">
        <f>'2025년 제부도 통행시간표 (현장자료)'!K46-'2026년 제부도 통행시간표 (공표자료)'!K114</f>
        <v>-1510.2743055555557</v>
      </c>
      <c r="L46" s="82">
        <f>'2025년 제부도 통행시간표 (현장자료)'!L46-'2026년 제부도 통행시간표 (공표자료)'!L114</f>
        <v>-1818.1187500000001</v>
      </c>
      <c r="M46" s="84"/>
      <c r="N46" s="19"/>
      <c r="O46" s="29">
        <v>9</v>
      </c>
      <c r="P46" s="27" t="s">
        <v>7</v>
      </c>
      <c r="Q46" s="33"/>
      <c r="R46" s="34"/>
      <c r="S46" s="34"/>
      <c r="T46" s="35"/>
    </row>
    <row r="47" spans="1:20" s="9" customFormat="1" ht="11.25" customHeight="1" x14ac:dyDescent="0.15">
      <c r="A47" s="29">
        <v>10</v>
      </c>
      <c r="B47" s="28" t="s">
        <v>10</v>
      </c>
      <c r="C47" s="59">
        <f>'2025년 제부도 통행시간표 (현장자료)'!C47-'2026년 제부도 통행시간표 (공표자료)'!C115</f>
        <v>-542.67361111111109</v>
      </c>
      <c r="D47" s="59">
        <f>'2025년 제부도 통행시간표 (현장자료)'!D47-'2026년 제부도 통행시간표 (공표자료)'!D115</f>
        <v>-1455.3020833333333</v>
      </c>
      <c r="E47" s="59">
        <f>'2025년 제부도 통행시간표 (현장자료)'!E47-'2026년 제부도 통행시간표 (공표자료)'!E115</f>
        <v>-1811.1354166666667</v>
      </c>
      <c r="F47" s="71">
        <f>'2025년 제부도 통행시간표 (현장자료)'!F47-'2026년 제부도 통행시간표 (공표자료)'!F115</f>
        <v>-318.76944444444445</v>
      </c>
      <c r="G47" s="19"/>
      <c r="H47" s="29">
        <v>10</v>
      </c>
      <c r="I47" s="28" t="s">
        <v>6</v>
      </c>
      <c r="J47" s="82"/>
      <c r="K47" s="86">
        <f>'2025년 제부도 통행시간표 (현장자료)'!K47-'2026년 제부도 통행시간표 (공표자료)'!K115</f>
        <v>-1544.2215277777777</v>
      </c>
      <c r="L47" s="82">
        <f>'2025년 제부도 통행시간표 (현장자료)'!L47-'2026년 제부도 통행시간표 (공표자료)'!L115</f>
        <v>-1850.10625</v>
      </c>
      <c r="M47" s="84"/>
      <c r="N47" s="19"/>
      <c r="O47" s="29">
        <v>10</v>
      </c>
      <c r="P47" s="27" t="s">
        <v>8</v>
      </c>
      <c r="Q47" s="47"/>
      <c r="R47" s="33"/>
      <c r="S47" s="33"/>
      <c r="T47" s="35"/>
    </row>
    <row r="48" spans="1:20" s="9" customFormat="1" ht="11.25" customHeight="1" x14ac:dyDescent="0.15">
      <c r="A48" s="29">
        <v>11</v>
      </c>
      <c r="B48" s="28" t="s">
        <v>11</v>
      </c>
      <c r="C48" s="66">
        <f>'2025년 제부도 통행시간표 (현장자료)'!C48-'2026년 제부도 통행시간표 (공표자료)'!C116</f>
        <v>-614.66041666666672</v>
      </c>
      <c r="D48" s="66">
        <f>'2025년 제부도 통행시간표 (현장자료)'!D48-'2026년 제부도 통행시간표 (공표자료)'!D116</f>
        <v>-1525.2701388888888</v>
      </c>
      <c r="E48" s="59">
        <f>'2025년 제부도 통행시간표 (현장자료)'!E48-'2026년 제부도 통행시간표 (공표자료)'!E116</f>
        <v>-1851.1104166666667</v>
      </c>
      <c r="F48" s="71"/>
      <c r="G48" s="19"/>
      <c r="H48" s="29">
        <v>11</v>
      </c>
      <c r="I48" s="28" t="s">
        <v>7</v>
      </c>
      <c r="J48" s="82"/>
      <c r="K48" s="86"/>
      <c r="L48" s="86"/>
      <c r="M48" s="84"/>
      <c r="N48" s="19"/>
      <c r="O48" s="29">
        <v>11</v>
      </c>
      <c r="P48" s="27" t="s">
        <v>9</v>
      </c>
      <c r="Q48" s="30"/>
      <c r="R48" s="47"/>
      <c r="S48" s="48"/>
      <c r="T48" s="35"/>
    </row>
    <row r="49" spans="1:20" s="9" customFormat="1" ht="11.25" customHeight="1" x14ac:dyDescent="0.15">
      <c r="A49" s="29">
        <v>12</v>
      </c>
      <c r="B49" s="28" t="s">
        <v>12</v>
      </c>
      <c r="C49" s="66"/>
      <c r="D49" s="66">
        <f>'2025년 제부도 통행시간표 (현장자료)'!D49-'2026년 제부도 통행시간표 (공표자료)'!D117</f>
        <v>-1558.21875</v>
      </c>
      <c r="E49" s="59">
        <f>'2025년 제부도 통행시간표 (현장자료)'!E49-'2026년 제부도 통행시간표 (공표자료)'!E117</f>
        <v>-1924.0958333333333</v>
      </c>
      <c r="F49" s="60"/>
      <c r="G49" s="19"/>
      <c r="H49" s="29">
        <v>12</v>
      </c>
      <c r="I49" s="28" t="s">
        <v>8</v>
      </c>
      <c r="J49" s="82"/>
      <c r="K49" s="82"/>
      <c r="L49" s="82"/>
      <c r="M49" s="84"/>
      <c r="N49" s="19"/>
      <c r="O49" s="29">
        <v>12</v>
      </c>
      <c r="P49" s="27" t="s">
        <v>10</v>
      </c>
      <c r="Q49" s="30"/>
      <c r="R49" s="30"/>
      <c r="S49" s="30"/>
      <c r="T49" s="36"/>
    </row>
    <row r="50" spans="1:20" s="9" customFormat="1" ht="11.25" customHeight="1" x14ac:dyDescent="0.15">
      <c r="A50" s="29">
        <v>13</v>
      </c>
      <c r="B50" s="28" t="s">
        <v>6</v>
      </c>
      <c r="C50" s="59"/>
      <c r="D50" s="59"/>
      <c r="E50" s="66"/>
      <c r="F50" s="71"/>
      <c r="G50" s="19"/>
      <c r="H50" s="29">
        <v>13</v>
      </c>
      <c r="I50" s="28" t="s">
        <v>9</v>
      </c>
      <c r="J50" s="82"/>
      <c r="K50" s="82"/>
      <c r="L50" s="82"/>
      <c r="M50" s="84"/>
      <c r="N50" s="19"/>
      <c r="O50" s="29">
        <v>13</v>
      </c>
      <c r="P50" s="27" t="s">
        <v>11</v>
      </c>
      <c r="Q50" s="30"/>
      <c r="R50" s="30"/>
      <c r="S50" s="30"/>
      <c r="T50" s="36"/>
    </row>
    <row r="51" spans="1:20" s="9" customFormat="1" ht="11.25" customHeight="1" x14ac:dyDescent="0.15">
      <c r="A51" s="29">
        <v>14</v>
      </c>
      <c r="B51" s="28" t="s">
        <v>7</v>
      </c>
      <c r="C51" s="59"/>
      <c r="D51" s="59"/>
      <c r="E51" s="59"/>
      <c r="F51" s="60"/>
      <c r="G51" s="19"/>
      <c r="H51" s="29">
        <v>14</v>
      </c>
      <c r="I51" s="28" t="s">
        <v>10</v>
      </c>
      <c r="J51" s="82"/>
      <c r="K51" s="82"/>
      <c r="L51" s="82"/>
      <c r="M51" s="84"/>
      <c r="N51" s="19"/>
      <c r="O51" s="29">
        <v>14</v>
      </c>
      <c r="P51" s="27" t="s">
        <v>12</v>
      </c>
      <c r="Q51" s="30"/>
      <c r="R51" s="30"/>
      <c r="S51" s="30"/>
      <c r="T51" s="36"/>
    </row>
    <row r="52" spans="1:20" s="9" customFormat="1" ht="11.25" customHeight="1" x14ac:dyDescent="0.15">
      <c r="A52" s="29">
        <v>15</v>
      </c>
      <c r="B52" s="28" t="s">
        <v>8</v>
      </c>
      <c r="C52" s="59"/>
      <c r="D52" s="59"/>
      <c r="E52" s="59"/>
      <c r="F52" s="60"/>
      <c r="G52" s="19"/>
      <c r="H52" s="29">
        <v>15</v>
      </c>
      <c r="I52" s="28" t="s">
        <v>11</v>
      </c>
      <c r="J52" s="82"/>
      <c r="K52" s="82"/>
      <c r="L52" s="82"/>
      <c r="M52" s="84"/>
      <c r="N52" s="19"/>
      <c r="O52" s="29">
        <v>15</v>
      </c>
      <c r="P52" s="27" t="s">
        <v>6</v>
      </c>
      <c r="Q52" s="30"/>
      <c r="R52" s="30"/>
      <c r="S52" s="30"/>
      <c r="T52" s="36"/>
    </row>
    <row r="53" spans="1:20" s="9" customFormat="1" ht="11.25" customHeight="1" x14ac:dyDescent="0.15">
      <c r="A53" s="29">
        <v>16</v>
      </c>
      <c r="B53" s="28" t="s">
        <v>9</v>
      </c>
      <c r="C53" s="59"/>
      <c r="D53" s="59"/>
      <c r="E53" s="59"/>
      <c r="F53" s="60"/>
      <c r="G53" s="19"/>
      <c r="H53" s="29">
        <v>16</v>
      </c>
      <c r="I53" s="28" t="s">
        <v>12</v>
      </c>
      <c r="J53" s="82"/>
      <c r="K53" s="82"/>
      <c r="L53" s="82"/>
      <c r="M53" s="84"/>
      <c r="N53" s="19"/>
      <c r="O53" s="29">
        <v>16</v>
      </c>
      <c r="P53" s="27" t="s">
        <v>7</v>
      </c>
      <c r="Q53" s="30"/>
      <c r="R53" s="30"/>
      <c r="S53" s="30"/>
      <c r="T53" s="36"/>
    </row>
    <row r="54" spans="1:20" s="9" customFormat="1" ht="11.25" customHeight="1" x14ac:dyDescent="0.15">
      <c r="A54" s="29">
        <v>17</v>
      </c>
      <c r="B54" s="28" t="s">
        <v>10</v>
      </c>
      <c r="C54" s="59"/>
      <c r="D54" s="59"/>
      <c r="E54" s="59"/>
      <c r="F54" s="71"/>
      <c r="G54" s="19"/>
      <c r="H54" s="29">
        <v>17</v>
      </c>
      <c r="I54" s="28" t="s">
        <v>6</v>
      </c>
      <c r="J54" s="82"/>
      <c r="K54" s="82"/>
      <c r="L54" s="82"/>
      <c r="M54" s="84"/>
      <c r="N54" s="19"/>
      <c r="O54" s="29">
        <v>17</v>
      </c>
      <c r="P54" s="27" t="s">
        <v>8</v>
      </c>
      <c r="Q54" s="30"/>
      <c r="R54" s="30"/>
      <c r="S54" s="30"/>
      <c r="T54" s="36"/>
    </row>
    <row r="55" spans="1:20" s="9" customFormat="1" ht="11.25" customHeight="1" x14ac:dyDescent="0.15">
      <c r="A55" s="29">
        <v>18</v>
      </c>
      <c r="B55" s="28" t="s">
        <v>11</v>
      </c>
      <c r="C55" s="66"/>
      <c r="D55" s="59"/>
      <c r="E55" s="59"/>
      <c r="F55" s="60" t="e">
        <f>'2025년 제부도 통행시간표 (현장자료)'!F55-'2026년 제부도 통행시간표 (공표자료)'!F123</f>
        <v>#VALUE!</v>
      </c>
      <c r="G55" s="19"/>
      <c r="H55" s="29">
        <v>18</v>
      </c>
      <c r="I55" s="28" t="s">
        <v>7</v>
      </c>
      <c r="J55" s="82"/>
      <c r="K55" s="82" t="e">
        <f>'2025년 제부도 통행시간표 (현장자료)'!K55-'2026년 제부도 통행시간표 (공표자료)'!K123</f>
        <v>#VALUE!</v>
      </c>
      <c r="L55" s="82" t="e">
        <f>'2025년 제부도 통행시간표 (현장자료)'!L55-'2026년 제부도 통행시간표 (공표자료)'!L123</f>
        <v>#VALUE!</v>
      </c>
      <c r="M55" s="84"/>
      <c r="N55" s="19"/>
      <c r="O55" s="29">
        <v>18</v>
      </c>
      <c r="P55" s="27" t="s">
        <v>9</v>
      </c>
      <c r="Q55" s="30"/>
      <c r="R55" s="30"/>
      <c r="S55" s="30"/>
      <c r="T55" s="36"/>
    </row>
    <row r="56" spans="1:20" s="9" customFormat="1" ht="11.25" customHeight="1" x14ac:dyDescent="0.15">
      <c r="A56" s="29">
        <v>19</v>
      </c>
      <c r="B56" s="28" t="s">
        <v>12</v>
      </c>
      <c r="C56" s="59" t="e">
        <f>'2025년 제부도 통행시간표 (현장자료)'!C56-'2026년 제부도 통행시간표 (공표자료)'!C124</f>
        <v>#VALUE!</v>
      </c>
      <c r="D56" s="66" t="e">
        <f>'2025년 제부도 통행시간표 (현장자료)'!D56-'2026년 제부도 통행시간표 (공표자료)'!D124</f>
        <v>#VALUE!</v>
      </c>
      <c r="E56" s="59" t="e">
        <f>'2025년 제부도 통행시간표 (현장자료)'!E56-'2026년 제부도 통행시간표 (공표자료)'!E124</f>
        <v>#VALUE!</v>
      </c>
      <c r="F56" s="60" t="e">
        <f>'2025년 제부도 통행시간표 (현장자료)'!F56-'2026년 제부도 통행시간표 (공표자료)'!F124</f>
        <v>#VALUE!</v>
      </c>
      <c r="G56" s="19"/>
      <c r="H56" s="29">
        <v>19</v>
      </c>
      <c r="I56" s="28" t="s">
        <v>8</v>
      </c>
      <c r="J56" s="82"/>
      <c r="K56" s="82" t="e">
        <f>'2025년 제부도 통행시간표 (현장자료)'!K56-'2026년 제부도 통행시간표 (공표자료)'!K124</f>
        <v>#VALUE!</v>
      </c>
      <c r="L56" s="82" t="e">
        <f>'2025년 제부도 통행시간표 (현장자료)'!L56-'2026년 제부도 통행시간표 (공표자료)'!L124</f>
        <v>#VALUE!</v>
      </c>
      <c r="M56" s="84"/>
      <c r="N56" s="19"/>
      <c r="O56" s="29">
        <v>19</v>
      </c>
      <c r="P56" s="27" t="s">
        <v>10</v>
      </c>
      <c r="Q56" s="33"/>
      <c r="R56" s="45"/>
      <c r="S56" s="45"/>
      <c r="T56" s="35"/>
    </row>
    <row r="57" spans="1:20" s="9" customFormat="1" ht="11.25" customHeight="1" x14ac:dyDescent="0.15">
      <c r="A57" s="29">
        <v>20</v>
      </c>
      <c r="B57" s="28" t="s">
        <v>6</v>
      </c>
      <c r="C57" s="59" t="e">
        <f>'2025년 제부도 통행시간표 (현장자료)'!C57-'2026년 제부도 통행시간표 (공표자료)'!C125</f>
        <v>#VALUE!</v>
      </c>
      <c r="D57" s="59" t="e">
        <f>'2025년 제부도 통행시간표 (현장자료)'!D57-'2026년 제부도 통행시간표 (공표자료)'!D125</f>
        <v>#VALUE!</v>
      </c>
      <c r="E57" s="59" t="e">
        <f>'2025년 제부도 통행시간표 (현장자료)'!E57-'2026년 제부도 통행시간표 (공표자료)'!E125</f>
        <v>#VALUE!</v>
      </c>
      <c r="F57" s="60" t="e">
        <f>'2025년 제부도 통행시간표 (현장자료)'!F57-'2026년 제부도 통행시간표 (공표자료)'!F125</f>
        <v>#VALUE!</v>
      </c>
      <c r="G57" s="19"/>
      <c r="H57" s="29">
        <v>20</v>
      </c>
      <c r="I57" s="28" t="s">
        <v>9</v>
      </c>
      <c r="J57" s="82"/>
      <c r="K57" s="82" t="e">
        <f>'2025년 제부도 통행시간표 (현장자료)'!K57-'2026년 제부도 통행시간표 (공표자료)'!K125</f>
        <v>#VALUE!</v>
      </c>
      <c r="L57" s="82" t="e">
        <f>'2025년 제부도 통행시간표 (현장자료)'!L57-'2026년 제부도 통행시간표 (공표자료)'!L125</f>
        <v>#VALUE!</v>
      </c>
      <c r="M57" s="84"/>
      <c r="N57" s="19"/>
      <c r="O57" s="29">
        <v>20</v>
      </c>
      <c r="P57" s="27" t="s">
        <v>11</v>
      </c>
      <c r="Q57" s="33"/>
      <c r="R57" s="34"/>
      <c r="S57" s="34"/>
      <c r="T57" s="35"/>
    </row>
    <row r="58" spans="1:20" s="9" customFormat="1" ht="11.25" customHeight="1" x14ac:dyDescent="0.15">
      <c r="A58" s="29">
        <v>21</v>
      </c>
      <c r="B58" s="28" t="s">
        <v>7</v>
      </c>
      <c r="C58" s="59" t="e">
        <f>'2025년 제부도 통행시간표 (현장자료)'!C58-'2026년 제부도 통행시간표 (공표자료)'!C126</f>
        <v>#VALUE!</v>
      </c>
      <c r="D58" s="59" t="e">
        <f>'2025년 제부도 통행시간표 (현장자료)'!D58-'2026년 제부도 통행시간표 (공표자료)'!D126</f>
        <v>#VALUE!</v>
      </c>
      <c r="E58" s="59" t="e">
        <f>'2025년 제부도 통행시간표 (현장자료)'!E58-'2026년 제부도 통행시간표 (공표자료)'!E126</f>
        <v>#VALUE!</v>
      </c>
      <c r="F58" s="60" t="e">
        <f>'2025년 제부도 통행시간표 (현장자료)'!F58-'2026년 제부도 통행시간표 (공표자료)'!F126</f>
        <v>#VALUE!</v>
      </c>
      <c r="G58" s="19"/>
      <c r="H58" s="29">
        <v>21</v>
      </c>
      <c r="I58" s="28" t="s">
        <v>10</v>
      </c>
      <c r="J58" s="82"/>
      <c r="K58" s="82" t="e">
        <f>'2025년 제부도 통행시간표 (현장자료)'!K58-'2026년 제부도 통행시간표 (공표자료)'!K126</f>
        <v>#VALUE!</v>
      </c>
      <c r="L58" s="82" t="e">
        <f>'2025년 제부도 통행시간표 (현장자료)'!L58-'2026년 제부도 통행시간표 (공표자료)'!L126</f>
        <v>#VALUE!</v>
      </c>
      <c r="M58" s="84"/>
      <c r="N58" s="19"/>
      <c r="O58" s="29">
        <v>21</v>
      </c>
      <c r="P58" s="27" t="s">
        <v>12</v>
      </c>
      <c r="Q58" s="33"/>
      <c r="R58" s="34"/>
      <c r="S58" s="34"/>
      <c r="T58" s="35"/>
    </row>
    <row r="59" spans="1:20" s="9" customFormat="1" ht="11.25" customHeight="1" x14ac:dyDescent="0.15">
      <c r="A59" s="29">
        <v>22</v>
      </c>
      <c r="B59" s="28" t="s">
        <v>8</v>
      </c>
      <c r="C59" s="59" t="e">
        <f>'2025년 제부도 통행시간표 (현장자료)'!C59-'2026년 제부도 통행시간표 (공표자료)'!C127</f>
        <v>#VALUE!</v>
      </c>
      <c r="D59" s="59" t="e">
        <f>'2025년 제부도 통행시간표 (현장자료)'!D59-'2026년 제부도 통행시간표 (공표자료)'!D127</f>
        <v>#VALUE!</v>
      </c>
      <c r="E59" s="59" t="e">
        <f>'2025년 제부도 통행시간표 (현장자료)'!E59-'2026년 제부도 통행시간표 (공표자료)'!E127</f>
        <v>#VALUE!</v>
      </c>
      <c r="F59" s="71" t="e">
        <f>'2025년 제부도 통행시간표 (현장자료)'!F59-'2026년 제부도 통행시간표 (공표자료)'!F127</f>
        <v>#VALUE!</v>
      </c>
      <c r="G59" s="19"/>
      <c r="H59" s="29">
        <v>22</v>
      </c>
      <c r="I59" s="28" t="s">
        <v>11</v>
      </c>
      <c r="J59" s="82"/>
      <c r="K59" s="86">
        <f>'2025년 제부도 통행시간표 (현장자료)'!K59-'2026년 제부도 통행시간표 (공표자료)'!K127</f>
        <v>-1355.3194444444443</v>
      </c>
      <c r="L59" s="82">
        <f>'2025년 제부도 통행시간표 (현장자료)'!L59-'2026년 제부도 통행시간표 (공표자료)'!L127</f>
        <v>-1544.1965277777779</v>
      </c>
      <c r="M59" s="84"/>
      <c r="N59" s="19"/>
      <c r="O59" s="29">
        <v>22</v>
      </c>
      <c r="P59" s="27" t="s">
        <v>6</v>
      </c>
      <c r="Q59" s="33"/>
      <c r="R59" s="34"/>
      <c r="S59" s="34"/>
      <c r="T59" s="35"/>
    </row>
    <row r="60" spans="1:20" s="9" customFormat="1" ht="11.25" customHeight="1" x14ac:dyDescent="0.15">
      <c r="A60" s="29">
        <v>23</v>
      </c>
      <c r="B60" s="28" t="s">
        <v>9</v>
      </c>
      <c r="C60" s="59" t="e">
        <f>'2025년 제부도 통행시간표 (현장자료)'!C60-'2026년 제부도 통행시간표 (공표자료)'!C128</f>
        <v>#VALUE!</v>
      </c>
      <c r="D60" s="59" t="e">
        <f>'2025년 제부도 통행시간표 (현장자료)'!D60-'2026년 제부도 통행시간표 (공표자료)'!D128</f>
        <v>#VALUE!</v>
      </c>
      <c r="E60" s="59" t="e">
        <f>'2025년 제부도 통행시간표 (현장자료)'!E60-'2026년 제부도 통행시간표 (공표자료)'!E128</f>
        <v>#VALUE!</v>
      </c>
      <c r="F60" s="60">
        <f>'2025년 제부도 통행시간표 (현장자료)'!F60-'2026년 제부도 통행시간표 (공표자료)'!F128</f>
        <v>-232.79027777777779</v>
      </c>
      <c r="G60" s="19"/>
      <c r="H60" s="29">
        <v>23</v>
      </c>
      <c r="I60" s="28" t="s">
        <v>12</v>
      </c>
      <c r="J60" s="82"/>
      <c r="K60" s="86">
        <f>'2025년 제부도 통행시간표 (현장자료)'!K60-'2026년 제부도 통행시간표 (공표자료)'!K128</f>
        <v>-1409.2958333333333</v>
      </c>
      <c r="L60" s="86">
        <f>'2025년 제부도 통행시간표 (현장자료)'!L60-'2026년 제부도 통행시간표 (공표자료)'!L128</f>
        <v>-1701.1770833333333</v>
      </c>
      <c r="M60" s="84"/>
      <c r="N60" s="19"/>
      <c r="O60" s="29">
        <v>23</v>
      </c>
      <c r="P60" s="27" t="s">
        <v>7</v>
      </c>
      <c r="Q60" s="33"/>
      <c r="R60" s="34"/>
      <c r="S60" s="34"/>
      <c r="T60" s="35"/>
    </row>
    <row r="61" spans="1:20" s="9" customFormat="1" ht="11.25" customHeight="1" x14ac:dyDescent="0.15">
      <c r="A61" s="29">
        <v>24</v>
      </c>
      <c r="B61" s="28" t="s">
        <v>10</v>
      </c>
      <c r="C61" s="59">
        <f>'2025년 제부도 통행시간표 (현장자료)'!C61-'2026년 제부도 통행시간표 (공표자료)'!C129</f>
        <v>-330.73055555555555</v>
      </c>
      <c r="D61" s="59">
        <f>'2025년 제부도 통행시간표 (현장자료)'!D61-'2026년 제부도 통행시간표 (공표자료)'!D129</f>
        <v>-1422.3097222222223</v>
      </c>
      <c r="E61" s="59">
        <f>'2025년 제부도 통행시간표 (현장자료)'!E61-'2026년 제부도 통행시간표 (공표자료)'!E129</f>
        <v>-1632.182638888889</v>
      </c>
      <c r="F61" s="71"/>
      <c r="G61" s="19"/>
      <c r="H61" s="29">
        <v>24</v>
      </c>
      <c r="I61" s="28" t="s">
        <v>6</v>
      </c>
      <c r="J61" s="82"/>
      <c r="K61" s="86">
        <f>'2025년 제부도 통행시간표 (현장자료)'!K61-'2026년 제부도 통행시간표 (공표자료)'!K129</f>
        <v>-1440.26875</v>
      </c>
      <c r="L61" s="82">
        <f>'2025년 제부도 통행시간표 (현장자료)'!L61-'2026년 제부도 통행시간표 (공표자료)'!L129</f>
        <v>-1800.1680555555556</v>
      </c>
      <c r="M61" s="84"/>
      <c r="N61" s="19"/>
      <c r="O61" s="29">
        <v>24</v>
      </c>
      <c r="P61" s="27" t="s">
        <v>8</v>
      </c>
      <c r="Q61" s="33"/>
      <c r="R61" s="34"/>
      <c r="S61" s="34"/>
      <c r="T61" s="35"/>
    </row>
    <row r="62" spans="1:20" s="9" customFormat="1" ht="11.25" customHeight="1" x14ac:dyDescent="0.15">
      <c r="A62" s="29">
        <v>25</v>
      </c>
      <c r="B62" s="28" t="s">
        <v>11</v>
      </c>
      <c r="C62" s="66"/>
      <c r="D62" s="66">
        <f>'2025년 제부도 통행시간표 (현장자료)'!D62-'2026년 제부도 통행시간표 (공표자료)'!D130</f>
        <v>-1434.2916666666667</v>
      </c>
      <c r="E62" s="59">
        <f>'2025년 제부도 통행시간표 (현장자료)'!E62-'2026년 제부도 통행시간표 (공표자료)'!E130</f>
        <v>-1735.1715277777778</v>
      </c>
      <c r="F62" s="60"/>
      <c r="G62" s="19"/>
      <c r="H62" s="29">
        <v>25</v>
      </c>
      <c r="I62" s="28" t="s">
        <v>7</v>
      </c>
      <c r="J62" s="82"/>
      <c r="K62" s="86"/>
      <c r="L62" s="86"/>
      <c r="M62" s="84"/>
      <c r="N62" s="19"/>
      <c r="O62" s="29">
        <v>25</v>
      </c>
      <c r="P62" s="27" t="s">
        <v>9</v>
      </c>
      <c r="Q62" s="33"/>
      <c r="R62" s="34"/>
      <c r="S62" s="34"/>
      <c r="T62" s="35"/>
    </row>
    <row r="63" spans="1:20" s="9" customFormat="1" ht="11.25" customHeight="1" x14ac:dyDescent="0.15">
      <c r="A63" s="29">
        <v>26</v>
      </c>
      <c r="B63" s="28" t="s">
        <v>12</v>
      </c>
      <c r="C63" s="59"/>
      <c r="D63" s="59">
        <f>'2025년 제부도 통행시간표 (현장자료)'!D63-'2026년 제부도 통행시간표 (공표자료)'!D131</f>
        <v>-1500.2527777777777</v>
      </c>
      <c r="E63" s="59">
        <f>'2025년 제부도 통행시간표 (현장자료)'!E63-'2026년 제부도 통행시간표 (공표자료)'!E131</f>
        <v>-1825.151388888889</v>
      </c>
      <c r="F63" s="60"/>
      <c r="G63" s="19"/>
      <c r="H63" s="29">
        <v>26</v>
      </c>
      <c r="I63" s="28" t="s">
        <v>8</v>
      </c>
      <c r="J63" s="82"/>
      <c r="K63" s="82"/>
      <c r="L63" s="82"/>
      <c r="M63" s="84"/>
      <c r="N63" s="19"/>
      <c r="O63" s="29">
        <v>26</v>
      </c>
      <c r="P63" s="27" t="s">
        <v>10</v>
      </c>
      <c r="Q63" s="33"/>
      <c r="R63" s="34"/>
      <c r="S63" s="34"/>
      <c r="T63" s="35"/>
    </row>
    <row r="64" spans="1:20" s="9" customFormat="1" ht="11.25" customHeight="1" x14ac:dyDescent="0.15">
      <c r="A64" s="29">
        <v>27</v>
      </c>
      <c r="B64" s="28" t="s">
        <v>6</v>
      </c>
      <c r="C64" s="59"/>
      <c r="D64" s="66"/>
      <c r="E64" s="66"/>
      <c r="F64" s="60"/>
      <c r="G64" s="19"/>
      <c r="H64" s="29">
        <v>27</v>
      </c>
      <c r="I64" s="28" t="s">
        <v>9</v>
      </c>
      <c r="J64" s="82"/>
      <c r="K64" s="82"/>
      <c r="L64" s="82"/>
      <c r="M64" s="84"/>
      <c r="N64" s="19"/>
      <c r="O64" s="29">
        <v>27</v>
      </c>
      <c r="P64" s="27" t="s">
        <v>11</v>
      </c>
      <c r="Q64" s="47"/>
      <c r="R64" s="48"/>
      <c r="S64" s="48"/>
      <c r="T64" s="49"/>
    </row>
    <row r="65" spans="1:20" s="9" customFormat="1" ht="11.25" customHeight="1" x14ac:dyDescent="0.15">
      <c r="A65" s="29">
        <v>28</v>
      </c>
      <c r="B65" s="28" t="s">
        <v>7</v>
      </c>
      <c r="C65" s="59"/>
      <c r="D65" s="59"/>
      <c r="E65" s="59"/>
      <c r="F65" s="60"/>
      <c r="G65" s="19"/>
      <c r="H65" s="29">
        <v>28</v>
      </c>
      <c r="I65" s="28" t="s">
        <v>10</v>
      </c>
      <c r="J65" s="82"/>
      <c r="K65" s="82"/>
      <c r="L65" s="82"/>
      <c r="M65" s="84"/>
      <c r="N65" s="19"/>
      <c r="O65" s="29">
        <v>28</v>
      </c>
      <c r="P65" s="27" t="s">
        <v>12</v>
      </c>
      <c r="Q65" s="30"/>
      <c r="R65" s="30"/>
      <c r="S65" s="30"/>
      <c r="T65" s="31"/>
    </row>
    <row r="66" spans="1:20" s="9" customFormat="1" ht="11.25" customHeight="1" x14ac:dyDescent="0.15">
      <c r="A66" s="29">
        <v>29</v>
      </c>
      <c r="B66" s="28" t="s">
        <v>8</v>
      </c>
      <c r="C66" s="59"/>
      <c r="D66" s="59"/>
      <c r="E66" s="59"/>
      <c r="F66" s="60"/>
      <c r="G66" s="19"/>
      <c r="H66" s="29">
        <v>29</v>
      </c>
      <c r="I66" s="28" t="s">
        <v>11</v>
      </c>
      <c r="J66" s="82"/>
      <c r="K66" s="82"/>
      <c r="L66" s="82"/>
      <c r="M66" s="84"/>
      <c r="N66" s="19"/>
      <c r="O66" s="29">
        <v>29</v>
      </c>
      <c r="P66" s="27" t="s">
        <v>6</v>
      </c>
      <c r="Q66" s="30"/>
      <c r="R66" s="30"/>
      <c r="S66" s="30"/>
      <c r="T66" s="31"/>
    </row>
    <row r="67" spans="1:20" s="9" customFormat="1" ht="11.25" customHeight="1" x14ac:dyDescent="0.15">
      <c r="A67" s="29">
        <v>30</v>
      </c>
      <c r="B67" s="28" t="s">
        <v>9</v>
      </c>
      <c r="C67" s="59"/>
      <c r="D67" s="59"/>
      <c r="E67" s="59"/>
      <c r="F67" s="60"/>
      <c r="G67" s="19"/>
      <c r="H67" s="29">
        <v>30</v>
      </c>
      <c r="I67" s="28" t="s">
        <v>12</v>
      </c>
      <c r="J67" s="82"/>
      <c r="K67" s="82"/>
      <c r="L67" s="82"/>
      <c r="M67" s="84"/>
      <c r="N67" s="19"/>
      <c r="O67" s="29">
        <v>30</v>
      </c>
      <c r="P67" s="27" t="s">
        <v>7</v>
      </c>
      <c r="Q67" s="30"/>
      <c r="R67" s="30"/>
      <c r="S67" s="30"/>
      <c r="T67" s="31"/>
    </row>
    <row r="68" spans="1:20" s="9" customFormat="1" ht="11.25" customHeight="1" thickBot="1" x14ac:dyDescent="0.2">
      <c r="A68" s="39">
        <v>31</v>
      </c>
      <c r="B68" s="73" t="s">
        <v>10</v>
      </c>
      <c r="C68" s="64"/>
      <c r="D68" s="64"/>
      <c r="E68" s="64"/>
      <c r="F68" s="65"/>
      <c r="G68" s="19"/>
      <c r="H68" s="39"/>
      <c r="I68" s="41"/>
      <c r="J68" s="79"/>
      <c r="K68" s="79"/>
      <c r="L68" s="79"/>
      <c r="M68" s="80"/>
      <c r="N68" s="19"/>
      <c r="O68" s="39">
        <v>31</v>
      </c>
      <c r="P68" s="27" t="s">
        <v>8</v>
      </c>
      <c r="Q68" s="37"/>
      <c r="R68" s="37"/>
      <c r="S68" s="37"/>
      <c r="T68" s="38"/>
    </row>
    <row r="69" spans="1:20" ht="9.9499999999999993" customHeight="1" x14ac:dyDescent="0.15">
      <c r="A69" s="12"/>
      <c r="B69" s="12"/>
      <c r="C69" s="13"/>
      <c r="D69" s="14"/>
      <c r="E69" s="13"/>
      <c r="F69" s="14"/>
      <c r="G69" s="11"/>
      <c r="H69" s="12"/>
      <c r="I69" s="12"/>
      <c r="J69" s="13"/>
      <c r="K69" s="14"/>
      <c r="L69" s="13"/>
      <c r="M69" s="14"/>
      <c r="N69" s="11"/>
      <c r="O69" s="15"/>
      <c r="P69" s="15"/>
      <c r="Q69" s="16"/>
      <c r="R69" s="17"/>
      <c r="S69" s="16"/>
      <c r="T69" s="17"/>
    </row>
    <row r="70" spans="1:20" ht="9.9499999999999993" customHeight="1" x14ac:dyDescent="0.15"/>
    <row r="71" spans="1:20" ht="9.9499999999999993" customHeight="1" x14ac:dyDescent="0.15"/>
    <row r="72" spans="1:20" ht="9.9499999999999993" customHeight="1" x14ac:dyDescent="0.15"/>
    <row r="73" spans="1:20" ht="9.9499999999999993" customHeight="1" x14ac:dyDescent="0.15"/>
    <row r="74" spans="1:20" ht="9.9499999999999993" customHeight="1" x14ac:dyDescent="0.15"/>
    <row r="75" spans="1:20" ht="9.9499999999999993" customHeight="1" x14ac:dyDescent="0.15"/>
    <row r="76" spans="1:20" ht="9.9499999999999993" customHeight="1" x14ac:dyDescent="0.15"/>
    <row r="77" spans="1:20" ht="9.9499999999999993" customHeight="1" x14ac:dyDescent="0.15"/>
    <row r="78" spans="1:20" ht="9.9499999999999993" customHeight="1" x14ac:dyDescent="0.15"/>
    <row r="79" spans="1:20" ht="9.9499999999999993" customHeight="1" x14ac:dyDescent="0.15"/>
    <row r="80" spans="1:20" ht="9.9499999999999993" customHeight="1" x14ac:dyDescent="0.15"/>
    <row r="81" ht="9.9499999999999993" customHeight="1" x14ac:dyDescent="0.15"/>
    <row r="82" ht="9.9499999999999993" customHeight="1" x14ac:dyDescent="0.15"/>
    <row r="83" ht="9.9499999999999993" customHeight="1" x14ac:dyDescent="0.15"/>
    <row r="84" ht="9.9499999999999993" customHeight="1" x14ac:dyDescent="0.15"/>
    <row r="85" ht="9.9499999999999993" customHeight="1" x14ac:dyDescent="0.15"/>
    <row r="86" ht="9.9499999999999993" customHeight="1" x14ac:dyDescent="0.15"/>
    <row r="87" ht="9.9499999999999993" customHeight="1" x14ac:dyDescent="0.15"/>
    <row r="88" ht="9.9499999999999993" customHeight="1" x14ac:dyDescent="0.15"/>
    <row r="89" ht="9.9499999999999993" customHeight="1" x14ac:dyDescent="0.15"/>
    <row r="90" ht="9.9499999999999993" customHeight="1" x14ac:dyDescent="0.15"/>
    <row r="91" ht="9.9499999999999993" customHeight="1" x14ac:dyDescent="0.15"/>
    <row r="92" ht="9.9499999999999993" customHeight="1" x14ac:dyDescent="0.15"/>
    <row r="93" ht="9.9499999999999993" customHeight="1" x14ac:dyDescent="0.15"/>
    <row r="94" ht="9.9499999999999993" customHeight="1" x14ac:dyDescent="0.15"/>
    <row r="95" ht="9.9499999999999993" customHeight="1" x14ac:dyDescent="0.15"/>
    <row r="96" ht="9.9499999999999993" customHeight="1" x14ac:dyDescent="0.15"/>
    <row r="97" ht="9.9499999999999993" customHeight="1" x14ac:dyDescent="0.15"/>
    <row r="98" ht="9.9499999999999993" customHeight="1" x14ac:dyDescent="0.15"/>
    <row r="99" ht="9.9499999999999993" customHeight="1" x14ac:dyDescent="0.15"/>
    <row r="100" ht="9.9499999999999993" customHeight="1" x14ac:dyDescent="0.15"/>
    <row r="101" ht="9.9499999999999993" customHeight="1" x14ac:dyDescent="0.15"/>
    <row r="102" ht="9.9499999999999993" customHeight="1" x14ac:dyDescent="0.15"/>
    <row r="103" ht="9.9499999999999993" customHeight="1" x14ac:dyDescent="0.15"/>
    <row r="104" ht="9.9499999999999993" customHeight="1" x14ac:dyDescent="0.15"/>
    <row r="105" ht="9.9499999999999993" customHeight="1" x14ac:dyDescent="0.15"/>
    <row r="106" ht="9.9499999999999993" customHeight="1" x14ac:dyDescent="0.15"/>
    <row r="107" ht="9.9499999999999993" customHeight="1" x14ac:dyDescent="0.15"/>
    <row r="108" ht="9.9499999999999993" customHeight="1" x14ac:dyDescent="0.15"/>
    <row r="109" ht="9.9499999999999993" customHeight="1" x14ac:dyDescent="0.15"/>
    <row r="110" ht="9.9499999999999993" customHeight="1" x14ac:dyDescent="0.15"/>
    <row r="111" ht="9.9499999999999993" customHeight="1" x14ac:dyDescent="0.15"/>
    <row r="112" ht="9.9499999999999993" customHeight="1" x14ac:dyDescent="0.15"/>
    <row r="113" ht="9.9499999999999993" customHeight="1" x14ac:dyDescent="0.15"/>
    <row r="114" ht="9.9499999999999993" customHeight="1" x14ac:dyDescent="0.15"/>
    <row r="115" ht="9.9499999999999993" customHeight="1" x14ac:dyDescent="0.15"/>
    <row r="116" ht="9.9499999999999993" customHeight="1" x14ac:dyDescent="0.15"/>
    <row r="117" ht="9.9499999999999993" customHeight="1" x14ac:dyDescent="0.15"/>
    <row r="118" ht="9.9499999999999993" customHeight="1" x14ac:dyDescent="0.15"/>
    <row r="119" ht="9.9499999999999993" customHeight="1" x14ac:dyDescent="0.15"/>
    <row r="120" ht="9.9499999999999993" customHeight="1" x14ac:dyDescent="0.15"/>
    <row r="121" ht="9.9499999999999993" customHeight="1" x14ac:dyDescent="0.15"/>
    <row r="122" ht="9.9499999999999993" customHeight="1" x14ac:dyDescent="0.15"/>
    <row r="123" ht="9.9499999999999993" customHeight="1" x14ac:dyDescent="0.15"/>
    <row r="124" ht="9.9499999999999993" customHeight="1" x14ac:dyDescent="0.15"/>
    <row r="125" ht="9.9499999999999993" customHeight="1" x14ac:dyDescent="0.15"/>
    <row r="126" ht="9.9499999999999993" customHeight="1" x14ac:dyDescent="0.15"/>
    <row r="127" ht="9.9499999999999993" customHeight="1" x14ac:dyDescent="0.15"/>
    <row r="128" ht="9.9499999999999993" customHeight="1" x14ac:dyDescent="0.15"/>
    <row r="129" ht="9.9499999999999993" customHeight="1" x14ac:dyDescent="0.15"/>
    <row r="130" ht="9.9499999999999993" customHeight="1" x14ac:dyDescent="0.15"/>
  </sheetData>
  <mergeCells count="24">
    <mergeCell ref="A1:F1"/>
    <mergeCell ref="H1:M1"/>
    <mergeCell ref="O1:T1"/>
    <mergeCell ref="O2:P3"/>
    <mergeCell ref="Q2:R2"/>
    <mergeCell ref="S2:T2"/>
    <mergeCell ref="A35:F35"/>
    <mergeCell ref="H35:M35"/>
    <mergeCell ref="O35:T35"/>
    <mergeCell ref="A2:B3"/>
    <mergeCell ref="C2:D2"/>
    <mergeCell ref="E2:F2"/>
    <mergeCell ref="H2:I3"/>
    <mergeCell ref="J2:K2"/>
    <mergeCell ref="L2:M2"/>
    <mergeCell ref="O36:P37"/>
    <mergeCell ref="Q36:R36"/>
    <mergeCell ref="S36:T36"/>
    <mergeCell ref="A36:B37"/>
    <mergeCell ref="C36:D36"/>
    <mergeCell ref="E36:F36"/>
    <mergeCell ref="H36:I37"/>
    <mergeCell ref="J36:K36"/>
    <mergeCell ref="L36:M36"/>
  </mergeCells>
  <phoneticPr fontId="2" type="noConversion"/>
  <printOptions horizontalCentered="1"/>
  <pageMargins left="0.15748031496062992" right="0.19685039370078741" top="0.86614173228346458" bottom="1.1023622047244095" header="0.43307086614173229" footer="0.51181102362204722"/>
  <pageSetup paperSize="9" scale="89" orientation="portrait" r:id="rId1"/>
  <headerFooter alignWithMargins="0">
    <oddHeader>&amp;C&amp;"굴림,굵게"&amp;18 2025년 제부도 바닷길 통행가능 시간표</oddHeader>
    <oddFooter>&amp;L&amp;9♠ 본 시간표는 국립해양조사원에서 제공하는 바다 갈라짐 예보 데이터를 기반으로 예측된 자료입니다. 
   어떠한 법적 효력도 가지고 있지 않음을 알려드립니다.
♠ 기상상태에 따라 바다갈라짐 발생 및 지속시간은 30분 이상 편차가 발생할 수 있습니다. 
♠ 표시된 시간은 통행이 가능한 시간입니다.  예) 09:12~ 18:38 : 9시 12분부터 18시 38분까지 통행이 가능합니다.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2026년 제부도 통행시간표 (공표자료)</vt:lpstr>
      <vt:lpstr>2025년 제부도 통행시간표 (현장자료)</vt:lpstr>
      <vt:lpstr>2025년 제부도 통행시간표 (편차)</vt:lpstr>
      <vt:lpstr>'2025년 제부도 통행시간표 (편차)'!Print_Area</vt:lpstr>
      <vt:lpstr>'2025년 제부도 통행시간표 (현장자료)'!Print_Area</vt:lpstr>
      <vt:lpstr>'2026년 제부도 통행시간표 (공표자료)'!Print_Area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2025-12-14T10:21:28Z</cp:lastPrinted>
  <dcterms:created xsi:type="dcterms:W3CDTF">2005-11-15T00:59:06Z</dcterms:created>
  <dcterms:modified xsi:type="dcterms:W3CDTF">2025-12-15T05:25:34Z</dcterms:modified>
</cp:coreProperties>
</file>